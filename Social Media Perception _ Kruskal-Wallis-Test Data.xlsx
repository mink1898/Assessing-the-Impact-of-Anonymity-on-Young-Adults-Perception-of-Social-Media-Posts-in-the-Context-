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yM0\Documents\EASTERN\2025-2026 Semesters (fifth year)\CSC 450 Senior Research\Final Paper\"/>
    </mc:Choice>
  </mc:AlternateContent>
  <xr:revisionPtr revIDLastSave="0" documentId="13_ncr:1_{EE5A2168-83D7-4D36-8D8C-659FD94AEA61}" xr6:coauthVersionLast="47" xr6:coauthVersionMax="47" xr10:uidLastSave="{00000000-0000-0000-0000-000000000000}"/>
  <bookViews>
    <workbookView xWindow="-110" yWindow="-110" windowWidth="25820" windowHeight="15500" firstSheet="1" activeTab="5" xr2:uid="{FF5CC2F7-1E93-4E05-90C7-55B40FEFEF16}"/>
  </bookViews>
  <sheets>
    <sheet name="Title" sheetId="3" r:id="rId1"/>
    <sheet name="KW Test Post 1" sheetId="1" r:id="rId2"/>
    <sheet name="KW Test Post 2" sheetId="9" r:id="rId3"/>
    <sheet name="KW Test Post 3" sheetId="11" r:id="rId4"/>
    <sheet name="KW Test Post 4" sheetId="10" r:id="rId5"/>
    <sheet name="KW Test Post 5" sheetId="12" r:id="rId6"/>
  </sheets>
  <externalReferences>
    <externalReference r:id="rId7"/>
  </externalReferences>
  <definedNames>
    <definedName name="_xlchart.v1.0" hidden="1">'KW Test Post 4'!$C$5</definedName>
    <definedName name="_xlchart.v1.1" hidden="1">'KW Test Post 4'!$C$6:$C$11</definedName>
    <definedName name="_xlchart.v1.10" hidden="1">'KW Test Post 5'!$E$31:$E$36</definedName>
    <definedName name="_xlchart.v1.11" hidden="1">'KW Test Post 5'!$E$5</definedName>
    <definedName name="_xlchart.v1.12" hidden="1">'KW Test Post 5'!$C$5</definedName>
    <definedName name="_xlchart.v1.13" hidden="1">'KW Test Post 5'!$C$81:$C$86</definedName>
    <definedName name="_xlchart.v1.14" hidden="1">'KW Test Post 5'!$D$5</definedName>
    <definedName name="_xlchart.v1.15" hidden="1">'KW Test Post 5'!$D$81:$D$86</definedName>
    <definedName name="_xlchart.v1.16" hidden="1">'KW Test Post 5'!$E$5</definedName>
    <definedName name="_xlchart.v1.17" hidden="1">'KW Test Post 5'!$E$81:$E$86</definedName>
    <definedName name="_xlchart.v1.18" hidden="1">'KW Test Post 5'!$C$106:$C$111</definedName>
    <definedName name="_xlchart.v1.19" hidden="1">'KW Test Post 5'!$C$5</definedName>
    <definedName name="_xlchart.v1.2" hidden="1">'KW Test Post 4'!$D$5</definedName>
    <definedName name="_xlchart.v1.20" hidden="1">'KW Test Post 5'!$D$106:$D$111</definedName>
    <definedName name="_xlchart.v1.21" hidden="1">'KW Test Post 5'!$D$5</definedName>
    <definedName name="_xlchart.v1.22" hidden="1">'KW Test Post 5'!$E$106:$E$111</definedName>
    <definedName name="_xlchart.v1.23" hidden="1">'KW Test Post 5'!$E$5</definedName>
    <definedName name="_xlchart.v1.24" hidden="1">'KW Test Post 5'!$C$5</definedName>
    <definedName name="_xlchart.v1.25" hidden="1">'KW Test Post 5'!$C$6:$C$11</definedName>
    <definedName name="_xlchart.v1.26" hidden="1">'KW Test Post 5'!$D$5</definedName>
    <definedName name="_xlchart.v1.27" hidden="1">'KW Test Post 5'!$D$6:$D$11</definedName>
    <definedName name="_xlchart.v1.28" hidden="1">'KW Test Post 5'!$E$5</definedName>
    <definedName name="_xlchart.v1.29" hidden="1">'KW Test Post 5'!$E$6:$E$11</definedName>
    <definedName name="_xlchart.v1.3" hidden="1">'KW Test Post 4'!$D$6:$D$11</definedName>
    <definedName name="_xlchart.v1.30" hidden="1">'KW Test Post 5'!$C$31:$C$36</definedName>
    <definedName name="_xlchart.v1.31" hidden="1">'KW Test Post 5'!$C$5</definedName>
    <definedName name="_xlchart.v1.32" hidden="1">'KW Test Post 5'!$D$31:$D$36</definedName>
    <definedName name="_xlchart.v1.33" hidden="1">'KW Test Post 5'!$D$5</definedName>
    <definedName name="_xlchart.v1.34" hidden="1">'KW Test Post 5'!$E$31:$E$36</definedName>
    <definedName name="_xlchart.v1.35" hidden="1">'KW Test Post 5'!$E$5</definedName>
    <definedName name="_xlchart.v1.36" hidden="1">'KW Test Post 5'!$C$5</definedName>
    <definedName name="_xlchart.v1.37" hidden="1">'KW Test Post 5'!$C$56:$C$61</definedName>
    <definedName name="_xlchart.v1.38" hidden="1">'KW Test Post 5'!$D$5</definedName>
    <definedName name="_xlchart.v1.39" hidden="1">'KW Test Post 5'!$D$56:$D$61</definedName>
    <definedName name="_xlchart.v1.4" hidden="1">'KW Test Post 4'!$E$5</definedName>
    <definedName name="_xlchart.v1.40" hidden="1">'KW Test Post 5'!$E$5</definedName>
    <definedName name="_xlchart.v1.41" hidden="1">'KW Test Post 5'!$E$56:$E$61</definedName>
    <definedName name="_xlchart.v1.5" hidden="1">'KW Test Post 4'!$E$6:$E$11</definedName>
    <definedName name="_xlchart.v1.6" hidden="1">'KW Test Post 5'!$C$31:$C$36</definedName>
    <definedName name="_xlchart.v1.7" hidden="1">'KW Test Post 5'!$C$5</definedName>
    <definedName name="_xlchart.v1.8" hidden="1">'KW Test Post 5'!$D$31:$D$36</definedName>
    <definedName name="_xlchart.v1.9" hidden="1">'KW Test Post 5'!$D$5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2" i="12" l="1"/>
  <c r="J117" i="12"/>
  <c r="I117" i="12"/>
  <c r="H117" i="12"/>
  <c r="J115" i="12"/>
  <c r="I115" i="12"/>
  <c r="H115" i="12"/>
  <c r="J112" i="12"/>
  <c r="I112" i="12"/>
  <c r="H112" i="12"/>
  <c r="J111" i="12"/>
  <c r="I111" i="12"/>
  <c r="H111" i="12"/>
  <c r="J109" i="12"/>
  <c r="J110" i="12" s="1" a="1"/>
  <c r="J110" i="12" s="1"/>
  <c r="I109" i="12"/>
  <c r="I106" i="12" s="1" a="1"/>
  <c r="I106" i="12" s="1"/>
  <c r="H109" i="12"/>
  <c r="H106" i="12" s="1" a="1"/>
  <c r="H106" i="12" s="1"/>
  <c r="J108" i="12"/>
  <c r="I108" i="12"/>
  <c r="H108" i="12"/>
  <c r="J107" i="12"/>
  <c r="I107" i="12"/>
  <c r="H107" i="12"/>
  <c r="J105" i="12"/>
  <c r="I105" i="12"/>
  <c r="H105" i="12"/>
  <c r="J92" i="12"/>
  <c r="I92" i="12"/>
  <c r="H92" i="12"/>
  <c r="J90" i="12"/>
  <c r="I90" i="12"/>
  <c r="H90" i="12"/>
  <c r="H97" i="12" s="1"/>
  <c r="J87" i="12"/>
  <c r="I87" i="12"/>
  <c r="H87" i="12"/>
  <c r="J86" i="12"/>
  <c r="I86" i="12"/>
  <c r="H86" i="12"/>
  <c r="J84" i="12"/>
  <c r="J81" i="12" s="1" a="1"/>
  <c r="J81" i="12" s="1"/>
  <c r="I84" i="12"/>
  <c r="I81" i="12" s="1" a="1"/>
  <c r="I81" i="12" s="1"/>
  <c r="H84" i="12"/>
  <c r="H85" i="12" s="1" a="1"/>
  <c r="H85" i="12" s="1"/>
  <c r="J83" i="12"/>
  <c r="I83" i="12"/>
  <c r="H83" i="12"/>
  <c r="J82" i="12"/>
  <c r="I82" i="12"/>
  <c r="H82" i="12"/>
  <c r="J80" i="12"/>
  <c r="I80" i="12"/>
  <c r="H80" i="12"/>
  <c r="H72" i="12"/>
  <c r="J67" i="12"/>
  <c r="I67" i="12"/>
  <c r="H67" i="12"/>
  <c r="K67" i="12" s="1"/>
  <c r="J65" i="12"/>
  <c r="I65" i="12"/>
  <c r="H65" i="12"/>
  <c r="J62" i="12"/>
  <c r="I62" i="12"/>
  <c r="H62" i="12"/>
  <c r="J61" i="12"/>
  <c r="I61" i="12"/>
  <c r="H61" i="12"/>
  <c r="J59" i="12"/>
  <c r="I59" i="12"/>
  <c r="H59" i="12"/>
  <c r="J58" i="12"/>
  <c r="I58" i="12"/>
  <c r="H58" i="12"/>
  <c r="J57" i="12"/>
  <c r="I57" i="12"/>
  <c r="H57" i="12"/>
  <c r="H60" i="12" s="1" a="1"/>
  <c r="H60" i="12" s="1"/>
  <c r="H56" i="12" a="1"/>
  <c r="H56" i="12" s="1"/>
  <c r="J55" i="12"/>
  <c r="I55" i="12"/>
  <c r="H55" i="12"/>
  <c r="J42" i="12"/>
  <c r="I42" i="12"/>
  <c r="H42" i="12"/>
  <c r="J40" i="12"/>
  <c r="I40" i="12"/>
  <c r="H40" i="12"/>
  <c r="H47" i="12" s="1"/>
  <c r="J37" i="12"/>
  <c r="I37" i="12"/>
  <c r="H37" i="12"/>
  <c r="J36" i="12"/>
  <c r="I36" i="12"/>
  <c r="H36" i="12"/>
  <c r="J34" i="12"/>
  <c r="I34" i="12"/>
  <c r="H34" i="12"/>
  <c r="J33" i="12"/>
  <c r="I33" i="12"/>
  <c r="H33" i="12"/>
  <c r="J32" i="12"/>
  <c r="J31" i="12" s="1" a="1"/>
  <c r="J31" i="12" s="1"/>
  <c r="I32" i="12"/>
  <c r="I31" i="12" s="1" a="1"/>
  <c r="I31" i="12" s="1"/>
  <c r="H32" i="12"/>
  <c r="J30" i="12"/>
  <c r="I30" i="12"/>
  <c r="H30" i="12"/>
  <c r="H22" i="12"/>
  <c r="J17" i="12"/>
  <c r="I17" i="12"/>
  <c r="H17" i="12"/>
  <c r="J15" i="12"/>
  <c r="I15" i="12"/>
  <c r="H15" i="12"/>
  <c r="J12" i="12"/>
  <c r="I12" i="12"/>
  <c r="H12" i="12"/>
  <c r="J11" i="12"/>
  <c r="I11" i="12"/>
  <c r="H11" i="12"/>
  <c r="J9" i="12"/>
  <c r="I9" i="12"/>
  <c r="H9" i="12"/>
  <c r="J8" i="12"/>
  <c r="I8" i="12"/>
  <c r="H8" i="12"/>
  <c r="J7" i="12"/>
  <c r="J10" i="12" s="1" a="1"/>
  <c r="J10" i="12" s="1"/>
  <c r="I7" i="12"/>
  <c r="I10" i="12" s="1" a="1"/>
  <c r="I10" i="12" s="1"/>
  <c r="H7" i="12"/>
  <c r="H6" i="12" s="1" a="1"/>
  <c r="H6" i="12" s="1"/>
  <c r="J6" i="12" a="1"/>
  <c r="J6" i="12" s="1"/>
  <c r="I6" i="12" a="1"/>
  <c r="I6" i="12" s="1"/>
  <c r="J5" i="12"/>
  <c r="I5" i="12"/>
  <c r="H5" i="12"/>
  <c r="H122" i="11"/>
  <c r="J117" i="11"/>
  <c r="I117" i="11"/>
  <c r="H117" i="11"/>
  <c r="J115" i="11"/>
  <c r="I115" i="11"/>
  <c r="H115" i="11"/>
  <c r="J112" i="11"/>
  <c r="I112" i="11"/>
  <c r="H112" i="11"/>
  <c r="J111" i="11"/>
  <c r="I111" i="11"/>
  <c r="H111" i="11"/>
  <c r="J109" i="11"/>
  <c r="I109" i="11"/>
  <c r="H109" i="11"/>
  <c r="J108" i="11"/>
  <c r="I108" i="11"/>
  <c r="H108" i="11"/>
  <c r="J107" i="11"/>
  <c r="I107" i="11"/>
  <c r="H107" i="11"/>
  <c r="I106" i="11" a="1"/>
  <c r="I106" i="11" s="1"/>
  <c r="J105" i="11"/>
  <c r="I105" i="11"/>
  <c r="H105" i="11"/>
  <c r="J92" i="11"/>
  <c r="I92" i="11"/>
  <c r="H92" i="11"/>
  <c r="K92" i="11" s="1"/>
  <c r="J90" i="11"/>
  <c r="I90" i="11"/>
  <c r="H97" i="11" s="1"/>
  <c r="H90" i="11"/>
  <c r="J87" i="11"/>
  <c r="I87" i="11"/>
  <c r="H87" i="11"/>
  <c r="J86" i="11"/>
  <c r="I86" i="11"/>
  <c r="H86" i="11"/>
  <c r="J84" i="11"/>
  <c r="I84" i="11"/>
  <c r="H84" i="11"/>
  <c r="J83" i="11"/>
  <c r="I83" i="11"/>
  <c r="H83" i="11"/>
  <c r="J82" i="11"/>
  <c r="J85" i="11" s="1" a="1"/>
  <c r="J85" i="11" s="1"/>
  <c r="I82" i="11"/>
  <c r="I85" i="11" s="1" a="1"/>
  <c r="I85" i="11" s="1"/>
  <c r="H82" i="11"/>
  <c r="J81" i="11" a="1"/>
  <c r="J81" i="11" s="1"/>
  <c r="I81" i="11" a="1"/>
  <c r="I81" i="11" s="1"/>
  <c r="J80" i="11"/>
  <c r="I80" i="11"/>
  <c r="H80" i="11"/>
  <c r="J67" i="11"/>
  <c r="I67" i="11"/>
  <c r="H67" i="11"/>
  <c r="K67" i="11" s="1"/>
  <c r="J65" i="11"/>
  <c r="I65" i="11"/>
  <c r="H65" i="11"/>
  <c r="H72" i="11" s="1"/>
  <c r="J62" i="11"/>
  <c r="I62" i="11"/>
  <c r="H62" i="11"/>
  <c r="J61" i="11"/>
  <c r="I61" i="11"/>
  <c r="H61" i="11"/>
  <c r="J59" i="11"/>
  <c r="I59" i="11"/>
  <c r="H59" i="11"/>
  <c r="H60" i="11" s="1" a="1"/>
  <c r="H60" i="11" s="1"/>
  <c r="J58" i="11"/>
  <c r="I58" i="11"/>
  <c r="H58" i="11"/>
  <c r="J57" i="11"/>
  <c r="I57" i="11"/>
  <c r="H57" i="11"/>
  <c r="I56" i="11" a="1"/>
  <c r="I56" i="11" s="1"/>
  <c r="H56" i="11" a="1"/>
  <c r="H56" i="11" s="1"/>
  <c r="J55" i="11"/>
  <c r="I55" i="11"/>
  <c r="H55" i="11"/>
  <c r="H47" i="11"/>
  <c r="J42" i="11"/>
  <c r="I42" i="11"/>
  <c r="H42" i="11"/>
  <c r="J40" i="11"/>
  <c r="I40" i="11"/>
  <c r="H40" i="11"/>
  <c r="J37" i="11"/>
  <c r="I37" i="11"/>
  <c r="H37" i="11"/>
  <c r="J36" i="11"/>
  <c r="I36" i="11"/>
  <c r="H36" i="11"/>
  <c r="J34" i="11"/>
  <c r="J35" i="11" s="1" a="1"/>
  <c r="J35" i="11" s="1"/>
  <c r="I34" i="11"/>
  <c r="I31" i="11" s="1" a="1"/>
  <c r="I31" i="11" s="1"/>
  <c r="H34" i="11"/>
  <c r="H35" i="11" s="1" a="1"/>
  <c r="H35" i="11" s="1"/>
  <c r="J33" i="11"/>
  <c r="I33" i="11"/>
  <c r="H33" i="11"/>
  <c r="J32" i="11"/>
  <c r="I32" i="11"/>
  <c r="H32" i="11"/>
  <c r="J30" i="11"/>
  <c r="I30" i="11"/>
  <c r="H30" i="11"/>
  <c r="J17" i="11"/>
  <c r="I17" i="11"/>
  <c r="H17" i="11"/>
  <c r="J15" i="11"/>
  <c r="I15" i="11"/>
  <c r="H15" i="11"/>
  <c r="H22" i="11" s="1"/>
  <c r="J12" i="11"/>
  <c r="I12" i="11"/>
  <c r="H12" i="11"/>
  <c r="J11" i="11"/>
  <c r="I11" i="11"/>
  <c r="H11" i="11"/>
  <c r="J9" i="11"/>
  <c r="I9" i="11"/>
  <c r="H9" i="11"/>
  <c r="J8" i="11"/>
  <c r="I8" i="11"/>
  <c r="H8" i="11"/>
  <c r="J7" i="11"/>
  <c r="J6" i="11" s="1" a="1"/>
  <c r="J6" i="11" s="1"/>
  <c r="I7" i="11"/>
  <c r="I6" i="11" s="1" a="1"/>
  <c r="I6" i="11" s="1"/>
  <c r="H7" i="11"/>
  <c r="H6" i="11" s="1" a="1"/>
  <c r="H6" i="11" s="1"/>
  <c r="J5" i="11"/>
  <c r="I5" i="11"/>
  <c r="H5" i="11"/>
  <c r="J117" i="10"/>
  <c r="I117" i="10"/>
  <c r="H117" i="10"/>
  <c r="K117" i="10" s="1"/>
  <c r="J115" i="10"/>
  <c r="I115" i="10"/>
  <c r="H115" i="10"/>
  <c r="H122" i="10" s="1"/>
  <c r="J112" i="10"/>
  <c r="I112" i="10"/>
  <c r="H112" i="10"/>
  <c r="J111" i="10"/>
  <c r="I111" i="10"/>
  <c r="H111" i="10"/>
  <c r="I110" i="10" a="1"/>
  <c r="I110" i="10" s="1"/>
  <c r="H110" i="10" a="1"/>
  <c r="H110" i="10" s="1"/>
  <c r="J109" i="10"/>
  <c r="I109" i="10"/>
  <c r="H109" i="10"/>
  <c r="J108" i="10"/>
  <c r="I108" i="10"/>
  <c r="H108" i="10"/>
  <c r="J107" i="10"/>
  <c r="I107" i="10"/>
  <c r="I106" i="10" s="1" a="1"/>
  <c r="I106" i="10" s="1"/>
  <c r="H107" i="10"/>
  <c r="H106" i="10" s="1" a="1"/>
  <c r="H106" i="10" s="1"/>
  <c r="J105" i="10"/>
  <c r="I105" i="10"/>
  <c r="H105" i="10"/>
  <c r="H97" i="10"/>
  <c r="J92" i="10"/>
  <c r="I92" i="10"/>
  <c r="H92" i="10"/>
  <c r="K92" i="10" s="1"/>
  <c r="J90" i="10"/>
  <c r="I90" i="10"/>
  <c r="H90" i="10"/>
  <c r="J87" i="10"/>
  <c r="I87" i="10"/>
  <c r="H87" i="10"/>
  <c r="J86" i="10"/>
  <c r="I86" i="10"/>
  <c r="H86" i="10"/>
  <c r="J84" i="10"/>
  <c r="I84" i="10"/>
  <c r="I85" i="10" s="1" a="1"/>
  <c r="I85" i="10" s="1"/>
  <c r="H84" i="10"/>
  <c r="H85" i="10" s="1" a="1"/>
  <c r="H85" i="10" s="1"/>
  <c r="J83" i="10"/>
  <c r="I83" i="10"/>
  <c r="H83" i="10"/>
  <c r="J82" i="10"/>
  <c r="I82" i="10"/>
  <c r="H82" i="10"/>
  <c r="J80" i="10"/>
  <c r="I80" i="10"/>
  <c r="H80" i="10"/>
  <c r="J67" i="10"/>
  <c r="I67" i="10"/>
  <c r="H67" i="10"/>
  <c r="K67" i="10" s="1"/>
  <c r="J65" i="10"/>
  <c r="I65" i="10"/>
  <c r="H65" i="10"/>
  <c r="H72" i="10" s="1"/>
  <c r="J62" i="10"/>
  <c r="I62" i="10"/>
  <c r="H62" i="10"/>
  <c r="J61" i="10"/>
  <c r="I61" i="10"/>
  <c r="H61" i="10"/>
  <c r="J59" i="10"/>
  <c r="I59" i="10"/>
  <c r="H59" i="10"/>
  <c r="J58" i="10"/>
  <c r="I58" i="10"/>
  <c r="H58" i="10"/>
  <c r="J57" i="10"/>
  <c r="J56" i="10" s="1" a="1"/>
  <c r="J56" i="10" s="1"/>
  <c r="I57" i="10"/>
  <c r="I56" i="10" s="1" a="1"/>
  <c r="I56" i="10" s="1"/>
  <c r="H57" i="10"/>
  <c r="H60" i="10" s="1" a="1"/>
  <c r="H60" i="10" s="1"/>
  <c r="J55" i="10"/>
  <c r="I55" i="10"/>
  <c r="H55" i="10"/>
  <c r="H47" i="10"/>
  <c r="J42" i="10"/>
  <c r="I42" i="10"/>
  <c r="H42" i="10"/>
  <c r="J40" i="10"/>
  <c r="I40" i="10"/>
  <c r="H40" i="10"/>
  <c r="J37" i="10"/>
  <c r="I37" i="10"/>
  <c r="H37" i="10"/>
  <c r="J36" i="10"/>
  <c r="I36" i="10"/>
  <c r="H36" i="10"/>
  <c r="J34" i="10"/>
  <c r="J35" i="10" s="1" a="1"/>
  <c r="J35" i="10" s="1"/>
  <c r="I34" i="10"/>
  <c r="I35" i="10" s="1" a="1"/>
  <c r="I35" i="10" s="1"/>
  <c r="H34" i="10"/>
  <c r="J33" i="10"/>
  <c r="I33" i="10"/>
  <c r="H33" i="10"/>
  <c r="J32" i="10"/>
  <c r="I32" i="10"/>
  <c r="H32" i="10"/>
  <c r="J30" i="10"/>
  <c r="I30" i="10"/>
  <c r="H30" i="10"/>
  <c r="H22" i="10"/>
  <c r="J17" i="10"/>
  <c r="I17" i="10"/>
  <c r="H17" i="10"/>
  <c r="K17" i="10" s="1"/>
  <c r="J15" i="10"/>
  <c r="I15" i="10"/>
  <c r="H15" i="10"/>
  <c r="J12" i="10"/>
  <c r="I12" i="10"/>
  <c r="H12" i="10"/>
  <c r="J11" i="10"/>
  <c r="I11" i="10"/>
  <c r="H11" i="10"/>
  <c r="J9" i="10"/>
  <c r="J10" i="10" s="1" a="1"/>
  <c r="J10" i="10" s="1"/>
  <c r="I9" i="10"/>
  <c r="H9" i="10"/>
  <c r="J8" i="10"/>
  <c r="I8" i="10"/>
  <c r="H8" i="10"/>
  <c r="J7" i="10"/>
  <c r="J6" i="10" s="1" a="1"/>
  <c r="J6" i="10" s="1"/>
  <c r="I7" i="10"/>
  <c r="I6" i="10" s="1" a="1"/>
  <c r="I6" i="10" s="1"/>
  <c r="H7" i="10"/>
  <c r="J5" i="10"/>
  <c r="I5" i="10"/>
  <c r="H5" i="10"/>
  <c r="H122" i="9"/>
  <c r="J117" i="9"/>
  <c r="I117" i="9"/>
  <c r="H117" i="9"/>
  <c r="J115" i="9"/>
  <c r="I115" i="9"/>
  <c r="H115" i="9"/>
  <c r="J112" i="9"/>
  <c r="I112" i="9"/>
  <c r="H112" i="9"/>
  <c r="J111" i="9"/>
  <c r="I111" i="9"/>
  <c r="H111" i="9"/>
  <c r="J109" i="9"/>
  <c r="J110" i="9" s="1" a="1"/>
  <c r="J110" i="9" s="1"/>
  <c r="I109" i="9"/>
  <c r="I106" i="9" s="1" a="1"/>
  <c r="I106" i="9" s="1"/>
  <c r="H109" i="9"/>
  <c r="J108" i="9"/>
  <c r="I108" i="9"/>
  <c r="H108" i="9"/>
  <c r="J107" i="9"/>
  <c r="I107" i="9"/>
  <c r="H107" i="9"/>
  <c r="H110" i="9" s="1" a="1"/>
  <c r="H110" i="9" s="1"/>
  <c r="H106" i="9" a="1"/>
  <c r="H106" i="9" s="1"/>
  <c r="J105" i="9"/>
  <c r="I105" i="9"/>
  <c r="H105" i="9"/>
  <c r="J92" i="9"/>
  <c r="I92" i="9"/>
  <c r="H92" i="9"/>
  <c r="J90" i="9"/>
  <c r="I90" i="9"/>
  <c r="H90" i="9"/>
  <c r="H97" i="9" s="1"/>
  <c r="J87" i="9"/>
  <c r="I87" i="9"/>
  <c r="H87" i="9"/>
  <c r="J86" i="9"/>
  <c r="I86" i="9"/>
  <c r="H86" i="9"/>
  <c r="J84" i="9"/>
  <c r="J85" i="9" s="1" a="1"/>
  <c r="J85" i="9" s="1"/>
  <c r="I84" i="9"/>
  <c r="I85" i="9" s="1" a="1"/>
  <c r="I85" i="9" s="1"/>
  <c r="H84" i="9"/>
  <c r="H81" i="9" s="1" a="1"/>
  <c r="H81" i="9" s="1"/>
  <c r="J83" i="9"/>
  <c r="I83" i="9"/>
  <c r="H83" i="9"/>
  <c r="J82" i="9"/>
  <c r="I82" i="9"/>
  <c r="H82" i="9"/>
  <c r="J80" i="9"/>
  <c r="I80" i="9"/>
  <c r="H80" i="9"/>
  <c r="H72" i="9"/>
  <c r="J67" i="9"/>
  <c r="I67" i="9"/>
  <c r="H67" i="9"/>
  <c r="K67" i="9" s="1"/>
  <c r="J65" i="9"/>
  <c r="I65" i="9"/>
  <c r="H65" i="9"/>
  <c r="J62" i="9"/>
  <c r="I62" i="9"/>
  <c r="H62" i="9"/>
  <c r="J61" i="9"/>
  <c r="I61" i="9"/>
  <c r="H61" i="9"/>
  <c r="J59" i="9"/>
  <c r="I59" i="9"/>
  <c r="H59" i="9"/>
  <c r="J58" i="9"/>
  <c r="I58" i="9"/>
  <c r="H58" i="9"/>
  <c r="J57" i="9"/>
  <c r="J60" i="9" s="1" a="1"/>
  <c r="J60" i="9" s="1"/>
  <c r="I57" i="9"/>
  <c r="I60" i="9" s="1" a="1"/>
  <c r="I60" i="9" s="1"/>
  <c r="H57" i="9"/>
  <c r="H56" i="9" s="1" a="1"/>
  <c r="H56" i="9" s="1"/>
  <c r="J55" i="9"/>
  <c r="I55" i="9"/>
  <c r="H55" i="9"/>
  <c r="J42" i="9"/>
  <c r="I42" i="9"/>
  <c r="H42" i="9"/>
  <c r="J40" i="9"/>
  <c r="I40" i="9"/>
  <c r="H40" i="9"/>
  <c r="H47" i="9" s="1"/>
  <c r="J37" i="9"/>
  <c r="I37" i="9"/>
  <c r="H37" i="9"/>
  <c r="J36" i="9"/>
  <c r="I36" i="9"/>
  <c r="H36" i="9"/>
  <c r="J34" i="9"/>
  <c r="J35" i="9" s="1" a="1"/>
  <c r="J35" i="9" s="1"/>
  <c r="I34" i="9"/>
  <c r="H34" i="9"/>
  <c r="J33" i="9"/>
  <c r="I33" i="9"/>
  <c r="H33" i="9"/>
  <c r="J32" i="9"/>
  <c r="I32" i="9"/>
  <c r="I31" i="9" s="1" a="1"/>
  <c r="I31" i="9" s="1"/>
  <c r="H32" i="9"/>
  <c r="H31" i="9" s="1" a="1"/>
  <c r="H31" i="9" s="1"/>
  <c r="J31" i="9" a="1"/>
  <c r="J31" i="9" s="1"/>
  <c r="J30" i="9"/>
  <c r="I30" i="9"/>
  <c r="H30" i="9"/>
  <c r="H22" i="9"/>
  <c r="J17" i="9"/>
  <c r="I17" i="9"/>
  <c r="H17" i="9"/>
  <c r="J15" i="9"/>
  <c r="I15" i="9"/>
  <c r="H15" i="9"/>
  <c r="J12" i="9"/>
  <c r="I12" i="9"/>
  <c r="H12" i="9"/>
  <c r="J11" i="9"/>
  <c r="I11" i="9"/>
  <c r="H11" i="9"/>
  <c r="J9" i="9"/>
  <c r="J6" i="9" s="1" a="1"/>
  <c r="J6" i="9" s="1"/>
  <c r="I9" i="9"/>
  <c r="I10" i="9" s="1" a="1"/>
  <c r="I10" i="9" s="1"/>
  <c r="H9" i="9"/>
  <c r="H10" i="9" s="1" a="1"/>
  <c r="H10" i="9" s="1"/>
  <c r="J8" i="9"/>
  <c r="I8" i="9"/>
  <c r="H8" i="9"/>
  <c r="J7" i="9"/>
  <c r="I7" i="9"/>
  <c r="H7" i="9"/>
  <c r="H6" i="9" s="1" a="1"/>
  <c r="H6" i="9" s="1"/>
  <c r="I6" i="9" a="1"/>
  <c r="I6" i="9" s="1"/>
  <c r="J5" i="9"/>
  <c r="I5" i="9"/>
  <c r="H5" i="9"/>
  <c r="H122" i="1"/>
  <c r="J117" i="1"/>
  <c r="I117" i="1"/>
  <c r="H117" i="1"/>
  <c r="K117" i="1" s="1"/>
  <c r="J115" i="1"/>
  <c r="I115" i="1"/>
  <c r="H115" i="1"/>
  <c r="J112" i="1"/>
  <c r="I112" i="1"/>
  <c r="H112" i="1"/>
  <c r="J111" i="1"/>
  <c r="I111" i="1"/>
  <c r="H111" i="1"/>
  <c r="J109" i="1"/>
  <c r="I109" i="1"/>
  <c r="H109" i="1"/>
  <c r="J108" i="1"/>
  <c r="I108" i="1"/>
  <c r="H108" i="1"/>
  <c r="J107" i="1"/>
  <c r="I107" i="1"/>
  <c r="H107" i="1"/>
  <c r="I106" i="1" a="1"/>
  <c r="I106" i="1" s="1"/>
  <c r="H106" i="1" a="1"/>
  <c r="H106" i="1" s="1"/>
  <c r="J105" i="1"/>
  <c r="I105" i="1"/>
  <c r="H105" i="1"/>
  <c r="J92" i="1"/>
  <c r="I92" i="1"/>
  <c r="H92" i="1"/>
  <c r="J90" i="1"/>
  <c r="I90" i="1"/>
  <c r="H90" i="1"/>
  <c r="H97" i="1" s="1"/>
  <c r="J87" i="1"/>
  <c r="I87" i="1"/>
  <c r="H87" i="1"/>
  <c r="J86" i="1"/>
  <c r="I86" i="1"/>
  <c r="H86" i="1"/>
  <c r="J84" i="1"/>
  <c r="I84" i="1"/>
  <c r="H84" i="1"/>
  <c r="J83" i="1"/>
  <c r="I83" i="1"/>
  <c r="H83" i="1"/>
  <c r="J82" i="1"/>
  <c r="I82" i="1"/>
  <c r="I85" i="1" s="1" a="1"/>
  <c r="I85" i="1" s="1"/>
  <c r="H82" i="1"/>
  <c r="I81" i="1" a="1"/>
  <c r="I81" i="1" s="1"/>
  <c r="H81" i="1" a="1"/>
  <c r="H81" i="1" s="1"/>
  <c r="J80" i="1"/>
  <c r="I80" i="1"/>
  <c r="H80" i="1"/>
  <c r="J67" i="1"/>
  <c r="I67" i="1"/>
  <c r="H67" i="1"/>
  <c r="J65" i="1"/>
  <c r="I65" i="1"/>
  <c r="H65" i="1"/>
  <c r="H72" i="1" s="1"/>
  <c r="J62" i="1"/>
  <c r="I62" i="1"/>
  <c r="H62" i="1"/>
  <c r="J61" i="1"/>
  <c r="I61" i="1"/>
  <c r="H61" i="1"/>
  <c r="J59" i="1"/>
  <c r="I59" i="1"/>
  <c r="H59" i="1"/>
  <c r="J58" i="1"/>
  <c r="I58" i="1"/>
  <c r="H58" i="1"/>
  <c r="J57" i="1"/>
  <c r="I57" i="1"/>
  <c r="H57" i="1"/>
  <c r="H56" i="1" s="1" a="1"/>
  <c r="H56" i="1" s="1"/>
  <c r="I56" i="1" a="1"/>
  <c r="I56" i="1" s="1"/>
  <c r="J55" i="1"/>
  <c r="I55" i="1"/>
  <c r="H55" i="1"/>
  <c r="J42" i="1"/>
  <c r="I42" i="1"/>
  <c r="H42" i="1"/>
  <c r="K42" i="1" s="1"/>
  <c r="J40" i="1"/>
  <c r="I40" i="1"/>
  <c r="H40" i="1"/>
  <c r="H47" i="1" s="1"/>
  <c r="J37" i="1"/>
  <c r="I37" i="1"/>
  <c r="H37" i="1"/>
  <c r="J36" i="1"/>
  <c r="I36" i="1"/>
  <c r="H36" i="1"/>
  <c r="J34" i="1"/>
  <c r="I34" i="1"/>
  <c r="I31" i="1" s="1" a="1"/>
  <c r="I31" i="1" s="1"/>
  <c r="H34" i="1"/>
  <c r="J33" i="1"/>
  <c r="I33" i="1"/>
  <c r="H33" i="1"/>
  <c r="J32" i="1"/>
  <c r="I32" i="1"/>
  <c r="H32" i="1"/>
  <c r="H31" i="1" a="1"/>
  <c r="H31" i="1" s="1"/>
  <c r="J30" i="1"/>
  <c r="I30" i="1"/>
  <c r="H30" i="1"/>
  <c r="J41" i="12"/>
  <c r="H41" i="10"/>
  <c r="H91" i="1"/>
  <c r="J91" i="10"/>
  <c r="J66" i="1"/>
  <c r="J116" i="10"/>
  <c r="I116" i="9"/>
  <c r="I116" i="1"/>
  <c r="I41" i="12"/>
  <c r="H41" i="12"/>
  <c r="H66" i="10"/>
  <c r="I66" i="1"/>
  <c r="H66" i="1"/>
  <c r="J41" i="1"/>
  <c r="J116" i="12"/>
  <c r="J66" i="12"/>
  <c r="I116" i="12"/>
  <c r="H116" i="10"/>
  <c r="I41" i="1"/>
  <c r="H41" i="1"/>
  <c r="I66" i="10"/>
  <c r="J16" i="10"/>
  <c r="H16" i="10"/>
  <c r="H91" i="9"/>
  <c r="J116" i="9"/>
  <c r="I41" i="9"/>
  <c r="I66" i="12"/>
  <c r="J66" i="10"/>
  <c r="I16" i="10"/>
  <c r="I91" i="10"/>
  <c r="J41" i="9"/>
  <c r="H41" i="9"/>
  <c r="J116" i="1"/>
  <c r="H66" i="12"/>
  <c r="J16" i="12"/>
  <c r="I16" i="12"/>
  <c r="H16" i="12"/>
  <c r="I91" i="12"/>
  <c r="H116" i="12"/>
  <c r="J91" i="12"/>
  <c r="H91" i="11"/>
  <c r="J41" i="11"/>
  <c r="I41" i="11"/>
  <c r="I116" i="11"/>
  <c r="H41" i="11"/>
  <c r="H116" i="9"/>
  <c r="I66" i="9"/>
  <c r="H66" i="9"/>
  <c r="J16" i="9"/>
  <c r="I16" i="9"/>
  <c r="H16" i="9"/>
  <c r="J91" i="9"/>
  <c r="I91" i="9"/>
  <c r="J66" i="9"/>
  <c r="J66" i="11"/>
  <c r="H116" i="11"/>
  <c r="I91" i="11"/>
  <c r="J116" i="11"/>
  <c r="I66" i="11"/>
  <c r="H66" i="11"/>
  <c r="J16" i="11"/>
  <c r="I16" i="11"/>
  <c r="H16" i="11"/>
  <c r="J91" i="11"/>
  <c r="H91" i="10"/>
  <c r="H116" i="1"/>
  <c r="J91" i="1"/>
  <c r="I41" i="10"/>
  <c r="I91" i="1"/>
  <c r="I116" i="10"/>
  <c r="J41" i="10"/>
  <c r="H91" i="12"/>
  <c r="I35" i="12" l="1" a="1"/>
  <c r="I35" i="12" s="1"/>
  <c r="J35" i="12" a="1"/>
  <c r="J35" i="12" s="1"/>
  <c r="H35" i="12" a="1"/>
  <c r="H35" i="12" s="1"/>
  <c r="H81" i="12" a="1"/>
  <c r="H81" i="12" s="1"/>
  <c r="J60" i="12" a="1"/>
  <c r="J60" i="12" s="1"/>
  <c r="I60" i="12" a="1"/>
  <c r="I60" i="12" s="1"/>
  <c r="J106" i="12" a="1"/>
  <c r="J106" i="12" s="1"/>
  <c r="I110" i="12" a="1"/>
  <c r="I110" i="12" s="1"/>
  <c r="H110" i="12" a="1"/>
  <c r="H110" i="12" s="1"/>
  <c r="K117" i="12"/>
  <c r="I85" i="12" a="1"/>
  <c r="I85" i="12" s="1"/>
  <c r="K92" i="12"/>
  <c r="J85" i="12" a="1"/>
  <c r="J85" i="12" s="1"/>
  <c r="I56" i="12" a="1"/>
  <c r="I56" i="12" s="1"/>
  <c r="J56" i="12" a="1"/>
  <c r="J56" i="12" s="1"/>
  <c r="K42" i="12"/>
  <c r="H31" i="12" a="1"/>
  <c r="H31" i="12" s="1"/>
  <c r="H10" i="12" a="1"/>
  <c r="H10" i="12" s="1"/>
  <c r="K17" i="12"/>
  <c r="J106" i="10" a="1"/>
  <c r="J106" i="10" s="1"/>
  <c r="J85" i="10" a="1"/>
  <c r="J85" i="10" s="1"/>
  <c r="I60" i="10" a="1"/>
  <c r="I60" i="10" s="1"/>
  <c r="J60" i="10" a="1"/>
  <c r="J60" i="10" s="1"/>
  <c r="H35" i="10" a="1"/>
  <c r="H35" i="10" s="1"/>
  <c r="K42" i="10"/>
  <c r="I10" i="10" a="1"/>
  <c r="I10" i="10" s="1"/>
  <c r="J93" i="12"/>
  <c r="H118" i="12"/>
  <c r="I93" i="12"/>
  <c r="H18" i="12"/>
  <c r="I18" i="12"/>
  <c r="J18" i="12"/>
  <c r="H68" i="12"/>
  <c r="I68" i="12"/>
  <c r="I118" i="12"/>
  <c r="J68" i="12"/>
  <c r="J118" i="12"/>
  <c r="H43" i="12"/>
  <c r="I43" i="12"/>
  <c r="J43" i="12"/>
  <c r="H93" i="12"/>
  <c r="J81" i="10" a="1"/>
  <c r="J81" i="10" s="1"/>
  <c r="H81" i="10" a="1"/>
  <c r="H81" i="10" s="1"/>
  <c r="I81" i="10" a="1"/>
  <c r="I81" i="10" s="1"/>
  <c r="J31" i="10" a="1"/>
  <c r="J31" i="10" s="1"/>
  <c r="I31" i="10" a="1"/>
  <c r="I31" i="10" s="1"/>
  <c r="H31" i="10" a="1"/>
  <c r="H31" i="10" s="1"/>
  <c r="H10" i="10" a="1"/>
  <c r="H10" i="10" s="1"/>
  <c r="I10" i="11" a="1"/>
  <c r="I10" i="11" s="1"/>
  <c r="J10" i="11" a="1"/>
  <c r="J10" i="11" s="1"/>
  <c r="H10" i="11" a="1"/>
  <c r="H10" i="11" s="1"/>
  <c r="K42" i="11"/>
  <c r="H31" i="11" a="1"/>
  <c r="H31" i="11" s="1"/>
  <c r="J31" i="11" a="1"/>
  <c r="J31" i="11" s="1"/>
  <c r="I60" i="11" a="1"/>
  <c r="I60" i="11" s="1"/>
  <c r="J56" i="11" a="1"/>
  <c r="J56" i="11" s="1"/>
  <c r="H81" i="11" a="1"/>
  <c r="H81" i="11" s="1"/>
  <c r="I110" i="11" a="1"/>
  <c r="I110" i="11" s="1"/>
  <c r="H110" i="11" a="1"/>
  <c r="H110" i="11" s="1"/>
  <c r="H106" i="11" a="1"/>
  <c r="H106" i="11" s="1"/>
  <c r="J106" i="11" a="1"/>
  <c r="J106" i="11" s="1"/>
  <c r="K117" i="11"/>
  <c r="H85" i="11" a="1"/>
  <c r="H85" i="11" s="1"/>
  <c r="J60" i="11" a="1"/>
  <c r="J60" i="11" s="1"/>
  <c r="I35" i="11" a="1"/>
  <c r="I35" i="11" s="1"/>
  <c r="K17" i="11"/>
  <c r="J93" i="11"/>
  <c r="H18" i="11"/>
  <c r="I18" i="11"/>
  <c r="J18" i="11"/>
  <c r="H68" i="11"/>
  <c r="I68" i="11"/>
  <c r="J118" i="11"/>
  <c r="I93" i="11"/>
  <c r="H118" i="11"/>
  <c r="J68" i="11"/>
  <c r="H43" i="11"/>
  <c r="I118" i="11"/>
  <c r="I43" i="11"/>
  <c r="J43" i="11"/>
  <c r="H93" i="11"/>
  <c r="J110" i="11" a="1"/>
  <c r="J110" i="11" s="1"/>
  <c r="I93" i="10"/>
  <c r="H18" i="10"/>
  <c r="I18" i="10"/>
  <c r="J18" i="10"/>
  <c r="I68" i="10"/>
  <c r="J68" i="10"/>
  <c r="H118" i="10"/>
  <c r="I118" i="10"/>
  <c r="J118" i="10"/>
  <c r="H68" i="10"/>
  <c r="J93" i="10"/>
  <c r="H43" i="10"/>
  <c r="I43" i="10"/>
  <c r="J43" i="10"/>
  <c r="H93" i="10"/>
  <c r="J110" i="10" a="1"/>
  <c r="J110" i="10" s="1"/>
  <c r="H6" i="10" a="1"/>
  <c r="H6" i="10" s="1"/>
  <c r="H56" i="10" a="1"/>
  <c r="H56" i="10" s="1"/>
  <c r="K92" i="9"/>
  <c r="J81" i="9" a="1"/>
  <c r="J81" i="9" s="1"/>
  <c r="H35" i="9" a="1"/>
  <c r="H35" i="9" s="1"/>
  <c r="J106" i="9" a="1"/>
  <c r="J106" i="9" s="1"/>
  <c r="I110" i="9" a="1"/>
  <c r="I110" i="9" s="1"/>
  <c r="K117" i="9"/>
  <c r="H85" i="9" a="1"/>
  <c r="H85" i="9" s="1"/>
  <c r="I81" i="9" a="1"/>
  <c r="I81" i="9" s="1"/>
  <c r="J56" i="9" a="1"/>
  <c r="J56" i="9" s="1"/>
  <c r="I56" i="9" a="1"/>
  <c r="I56" i="9" s="1"/>
  <c r="H60" i="9" a="1"/>
  <c r="H60" i="9" s="1"/>
  <c r="I35" i="9" a="1"/>
  <c r="I35" i="9" s="1"/>
  <c r="K42" i="9"/>
  <c r="K17" i="9"/>
  <c r="J10" i="9" a="1"/>
  <c r="J10" i="9" s="1"/>
  <c r="J68" i="9"/>
  <c r="I93" i="9"/>
  <c r="J93" i="9"/>
  <c r="H18" i="9"/>
  <c r="I18" i="9"/>
  <c r="J18" i="9"/>
  <c r="H68" i="9"/>
  <c r="I68" i="9"/>
  <c r="H118" i="9"/>
  <c r="H43" i="9"/>
  <c r="I43" i="9"/>
  <c r="I118" i="9"/>
  <c r="J118" i="9"/>
  <c r="J43" i="9"/>
  <c r="H93" i="9"/>
  <c r="J106" i="1" a="1"/>
  <c r="J106" i="1" s="1"/>
  <c r="J110" i="1" a="1"/>
  <c r="J110" i="1" s="1"/>
  <c r="I110" i="1" a="1"/>
  <c r="I110" i="1" s="1"/>
  <c r="H110" i="1" a="1"/>
  <c r="H110" i="1" s="1"/>
  <c r="J81" i="1" a="1"/>
  <c r="J81" i="1" s="1"/>
  <c r="K92" i="1"/>
  <c r="H85" i="1" a="1"/>
  <c r="H85" i="1" s="1"/>
  <c r="J56" i="1" a="1"/>
  <c r="J56" i="1" s="1"/>
  <c r="K67" i="1"/>
  <c r="I60" i="1" a="1"/>
  <c r="I60" i="1" s="1"/>
  <c r="H60" i="1" a="1"/>
  <c r="H60" i="1" s="1"/>
  <c r="J31" i="1" a="1"/>
  <c r="J31" i="1" s="1"/>
  <c r="I35" i="1" a="1"/>
  <c r="I35" i="1" s="1"/>
  <c r="H35" i="1" a="1"/>
  <c r="H35" i="1" s="1"/>
  <c r="H118" i="1"/>
  <c r="J118" i="1"/>
  <c r="I118" i="1"/>
  <c r="H93" i="1"/>
  <c r="I93" i="1"/>
  <c r="J93" i="1"/>
  <c r="J85" i="1" a="1"/>
  <c r="J85" i="1" s="1"/>
  <c r="H68" i="1"/>
  <c r="I68" i="1"/>
  <c r="J68" i="1"/>
  <c r="J60" i="1" a="1"/>
  <c r="J60" i="1" s="1"/>
  <c r="H43" i="1"/>
  <c r="I43" i="1"/>
  <c r="J43" i="1"/>
  <c r="J35" i="1" a="1"/>
  <c r="J35" i="1" s="1"/>
  <c r="K93" i="10" l="1"/>
  <c r="H95" i="10" s="1"/>
  <c r="K18" i="12"/>
  <c r="H20" i="12" s="1"/>
  <c r="K68" i="12"/>
  <c r="H70" i="12" s="1"/>
  <c r="K118" i="12"/>
  <c r="H120" i="12" s="1"/>
  <c r="K93" i="12"/>
  <c r="H95" i="12" s="1"/>
  <c r="K43" i="12"/>
  <c r="H45" i="12" s="1"/>
  <c r="K68" i="10"/>
  <c r="H70" i="10" s="1"/>
  <c r="K43" i="11"/>
  <c r="H45" i="11" s="1"/>
  <c r="K18" i="11"/>
  <c r="H20" i="11" s="1"/>
  <c r="K118" i="11"/>
  <c r="H120" i="11" s="1"/>
  <c r="K68" i="11"/>
  <c r="H70" i="11" s="1"/>
  <c r="K93" i="11"/>
  <c r="H95" i="11" s="1"/>
  <c r="K43" i="10"/>
  <c r="H45" i="10" s="1"/>
  <c r="K118" i="10"/>
  <c r="H120" i="10" s="1"/>
  <c r="K18" i="10"/>
  <c r="H20" i="10" s="1"/>
  <c r="K93" i="9"/>
  <c r="H95" i="9" s="1"/>
  <c r="K43" i="9"/>
  <c r="H45" i="9" s="1"/>
  <c r="K118" i="9"/>
  <c r="H120" i="9" s="1"/>
  <c r="K68" i="9"/>
  <c r="H70" i="9" s="1"/>
  <c r="K18" i="9"/>
  <c r="H20" i="9" s="1"/>
  <c r="K118" i="1"/>
  <c r="H120" i="1" s="1"/>
  <c r="K93" i="1"/>
  <c r="H95" i="1" s="1"/>
  <c r="K68" i="1"/>
  <c r="H70" i="1" s="1"/>
  <c r="K43" i="1"/>
  <c r="H45" i="1" s="1"/>
  <c r="H121" i="11"/>
  <c r="H96" i="11"/>
  <c r="H96" i="1"/>
  <c r="H46" i="11"/>
  <c r="H121" i="1"/>
  <c r="H96" i="9"/>
  <c r="H71" i="9"/>
  <c r="H21" i="9"/>
  <c r="H71" i="1"/>
  <c r="H96" i="10"/>
  <c r="H71" i="12"/>
  <c r="H121" i="12"/>
  <c r="H96" i="12"/>
  <c r="H21" i="12"/>
  <c r="H46" i="12"/>
  <c r="H21" i="11"/>
  <c r="H71" i="11"/>
  <c r="H46" i="10"/>
  <c r="H121" i="10"/>
  <c r="H21" i="10"/>
  <c r="H121" i="9"/>
  <c r="H46" i="1"/>
  <c r="H71" i="10"/>
  <c r="H46" i="9"/>
  <c r="H98" i="10" l="1"/>
  <c r="H100" i="10" s="1"/>
  <c r="H48" i="12"/>
  <c r="H50" i="12" s="1"/>
  <c r="H98" i="12"/>
  <c r="H100" i="12" s="1"/>
  <c r="H123" i="12"/>
  <c r="H125" i="12" s="1"/>
  <c r="H73" i="12"/>
  <c r="H75" i="12" s="1"/>
  <c r="H23" i="12"/>
  <c r="H25" i="12" s="1"/>
  <c r="H73" i="10"/>
  <c r="H75" i="10" s="1"/>
  <c r="H48" i="11"/>
  <c r="H50" i="11" s="1"/>
  <c r="H23" i="11"/>
  <c r="H25" i="11" s="1"/>
  <c r="H98" i="11"/>
  <c r="H100" i="11" s="1"/>
  <c r="H123" i="11"/>
  <c r="H125" i="11" s="1"/>
  <c r="H73" i="11"/>
  <c r="H75" i="11" s="1"/>
  <c r="H123" i="10"/>
  <c r="H125" i="10" s="1"/>
  <c r="H23" i="10"/>
  <c r="H25" i="10" s="1"/>
  <c r="H48" i="10"/>
  <c r="H50" i="10" s="1"/>
  <c r="H23" i="9"/>
  <c r="H25" i="9" s="1"/>
  <c r="H73" i="9"/>
  <c r="H75" i="9" s="1"/>
  <c r="H123" i="9"/>
  <c r="H125" i="9" s="1"/>
  <c r="H48" i="9"/>
  <c r="H50" i="9" s="1"/>
  <c r="H98" i="9"/>
  <c r="H100" i="9" s="1"/>
  <c r="H123" i="1"/>
  <c r="H125" i="1" s="1"/>
  <c r="H98" i="1"/>
  <c r="H100" i="1" s="1"/>
  <c r="H73" i="1"/>
  <c r="H75" i="1" s="1"/>
  <c r="H48" i="1"/>
  <c r="H50" i="1" s="1"/>
  <c r="J5" i="1" l="1"/>
  <c r="H15" i="1"/>
  <c r="H16" i="1"/>
  <c r="J15" i="1" l="1"/>
  <c r="I15" i="1"/>
  <c r="I5" i="1"/>
  <c r="H5" i="1"/>
  <c r="H22" i="1" l="1"/>
  <c r="I7" i="1" l="1"/>
  <c r="J11" i="1"/>
  <c r="I11" i="1"/>
  <c r="H11" i="1"/>
  <c r="J7" i="1"/>
  <c r="H17" i="1" l="1"/>
  <c r="H18" i="1" s="1"/>
  <c r="H7" i="1"/>
  <c r="J9" i="1"/>
  <c r="J6" i="1" s="1" a="1"/>
  <c r="J6" i="1" s="1"/>
  <c r="I16" i="1"/>
  <c r="J10" i="1" l="1" a="1"/>
  <c r="J10" i="1" s="1"/>
  <c r="I9" i="1"/>
  <c r="I6" i="1" s="1" a="1"/>
  <c r="I6" i="1" s="1"/>
  <c r="I8" i="1"/>
  <c r="J16" i="1"/>
  <c r="I10" i="1" l="1" a="1"/>
  <c r="I10" i="1" s="1"/>
  <c r="J8" i="1"/>
  <c r="H9" i="1" l="1"/>
  <c r="H6" i="1" s="1" a="1"/>
  <c r="H6" i="1" s="1"/>
  <c r="H8" i="1"/>
  <c r="I12" i="1"/>
  <c r="I17" i="1"/>
  <c r="H12" i="1"/>
  <c r="J17" i="1"/>
  <c r="J18" i="1" s="1"/>
  <c r="H10" i="1" l="1" a="1"/>
  <c r="H10" i="1" s="1"/>
  <c r="K17" i="1"/>
  <c r="I18" i="1"/>
  <c r="K18" i="1" l="1"/>
  <c r="H20" i="1" s="1"/>
  <c r="H21" i="1"/>
  <c r="H23" i="1" l="1"/>
  <c r="H25" i="1" s="1"/>
  <c r="J12" i="1"/>
</calcChain>
</file>

<file path=xl/sharedStrings.xml><?xml version="1.0" encoding="utf-8"?>
<sst xmlns="http://schemas.openxmlformats.org/spreadsheetml/2006/main" count="635" uniqueCount="43">
  <si>
    <t>Mean</t>
  </si>
  <si>
    <t>Variance</t>
  </si>
  <si>
    <t>p-value</t>
  </si>
  <si>
    <t>df</t>
  </si>
  <si>
    <t>Group Size n</t>
  </si>
  <si>
    <t>Kruskal-Wallis Test</t>
  </si>
  <si>
    <t>Min</t>
  </si>
  <si>
    <t>Q1</t>
  </si>
  <si>
    <t>Median</t>
  </si>
  <si>
    <t>Q3</t>
  </si>
  <si>
    <t>Max</t>
  </si>
  <si>
    <t>Real Statistics Using Excel</t>
  </si>
  <si>
    <t>Updated</t>
  </si>
  <si>
    <t>Copyright © 2013 - 2024 Charles Zaiontz</t>
  </si>
  <si>
    <t>Anonymous</t>
  </si>
  <si>
    <t>Pseudonymous</t>
  </si>
  <si>
    <t>https://real-statistics.com/free-download/real-statistics-resource-pack/</t>
  </si>
  <si>
    <t>Non-Anonymous</t>
  </si>
  <si>
    <t>INPUT DATA: Accuracy</t>
  </si>
  <si>
    <t>DESCRIPTIVE DATA</t>
  </si>
  <si>
    <t>Kruskal-Wallis Test Final Output</t>
  </si>
  <si>
    <t>Rank Sum</t>
  </si>
  <si>
    <t>Tie-Corrected H</t>
  </si>
  <si>
    <t>Signficant?</t>
  </si>
  <si>
    <t>H-statistic</t>
  </si>
  <si>
    <t>alpha (α)</t>
  </si>
  <si>
    <t>SUM</t>
  </si>
  <si>
    <r>
      <t>R</t>
    </r>
    <r>
      <rPr>
        <b/>
        <i/>
        <vertAlign val="superscript"/>
        <sz val="10"/>
        <color theme="1"/>
        <rFont val="Arial"/>
        <family val="2"/>
      </rPr>
      <t>2</t>
    </r>
    <r>
      <rPr>
        <b/>
        <i/>
        <sz val="10"/>
        <color theme="1"/>
        <rFont val="Arial"/>
        <family val="2"/>
      </rPr>
      <t>/n</t>
    </r>
  </si>
  <si>
    <t>Kruskal–Wallis Test and Descriptive Statistics</t>
  </si>
  <si>
    <t>QUESTION 1</t>
  </si>
  <si>
    <t>Post 1</t>
  </si>
  <si>
    <t>QUESTION 2</t>
  </si>
  <si>
    <t>QUESTION 5</t>
  </si>
  <si>
    <t>QUESTION 4</t>
  </si>
  <si>
    <t>QUESTION 3</t>
  </si>
  <si>
    <t>INPUT DATA: Trustworthiness</t>
  </si>
  <si>
    <t>INPUT DATA: Controversy</t>
  </si>
  <si>
    <t>INPUT DATA: Confidence</t>
  </si>
  <si>
    <t>INPUT DATA: Relevance</t>
  </si>
  <si>
    <t>Post 2</t>
  </si>
  <si>
    <t>Post 3</t>
  </si>
  <si>
    <t>Post 4</t>
  </si>
  <si>
    <t>Post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</si>
</sst>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7"/>
      <color theme="1"/>
      <name val="Arial"/>
      <family val="2"/>
    </font>
    <font>
      <i/>
      <sz val="7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4" tint="-0.249977111117893"/>
      <name val="Arial"/>
      <family val="2"/>
    </font>
    <font>
      <b/>
      <i/>
      <sz val="10"/>
      <color theme="4" tint="-0.249977111117893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rgb="FFFF0000"/>
      <name val="Arial"/>
      <family val="2"/>
    </font>
    <font>
      <b/>
      <i/>
      <vertAlign val="superscript"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i/>
      <sz val="10"/>
      <color theme="3" tint="0.249977111117893"/>
      <name val="Arial"/>
      <family val="2"/>
    </font>
    <font>
      <sz val="10"/>
      <color theme="3" tint="0.249977111117893"/>
      <name val="Arial"/>
      <family val="2"/>
    </font>
    <font>
      <b/>
      <i/>
      <sz val="8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29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11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7" fillId="2" borderId="1" xfId="0" applyFont="1" applyFill="1" applyBorder="1"/>
    <xf numFmtId="0" fontId="8" fillId="0" borderId="0" xfId="0" applyFont="1" applyAlignment="1">
      <alignment horizontal="center"/>
    </xf>
    <xf numFmtId="0" fontId="7" fillId="2" borderId="1" xfId="0" applyFont="1" applyFill="1" applyBorder="1" applyAlignment="1">
      <alignment horizontal="right"/>
    </xf>
    <xf numFmtId="0" fontId="7" fillId="2" borderId="0" xfId="0" applyFont="1" applyFill="1" applyAlignment="1">
      <alignment horizontal="right"/>
    </xf>
    <xf numFmtId="0" fontId="7" fillId="2" borderId="2" xfId="0" applyFont="1" applyFill="1" applyBorder="1" applyAlignment="1">
      <alignment horizontal="right"/>
    </xf>
    <xf numFmtId="0" fontId="10" fillId="0" borderId="0" xfId="0" applyFont="1" applyAlignment="1">
      <alignment horizontal="center"/>
    </xf>
    <xf numFmtId="0" fontId="7" fillId="2" borderId="3" xfId="0" applyFont="1" applyFill="1" applyBorder="1" applyAlignment="1">
      <alignment horizontal="right"/>
    </xf>
    <xf numFmtId="0" fontId="7" fillId="2" borderId="4" xfId="0" applyFont="1" applyFill="1" applyBorder="1" applyAlignment="1">
      <alignment horizontal="right"/>
    </xf>
    <xf numFmtId="0" fontId="7" fillId="2" borderId="5" xfId="0" applyFont="1" applyFill="1" applyBorder="1" applyAlignment="1">
      <alignment horizontal="right"/>
    </xf>
    <xf numFmtId="0" fontId="7" fillId="0" borderId="2" xfId="0" applyFont="1" applyBorder="1"/>
    <xf numFmtId="0" fontId="11" fillId="0" borderId="0" xfId="0" applyFont="1" applyAlignment="1">
      <alignment horizontal="right"/>
    </xf>
    <xf numFmtId="0" fontId="11" fillId="2" borderId="9" xfId="0" applyFont="1" applyFill="1" applyBorder="1" applyAlignment="1">
      <alignment horizontal="right"/>
    </xf>
    <xf numFmtId="0" fontId="11" fillId="2" borderId="10" xfId="0" applyFont="1" applyFill="1" applyBorder="1" applyAlignment="1">
      <alignment horizontal="right"/>
    </xf>
    <xf numFmtId="0" fontId="11" fillId="2" borderId="1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right"/>
    </xf>
    <xf numFmtId="0" fontId="11" fillId="2" borderId="13" xfId="0" applyFont="1" applyFill="1" applyBorder="1" applyAlignment="1">
      <alignment horizontal="right"/>
    </xf>
    <xf numFmtId="0" fontId="6" fillId="2" borderId="14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right"/>
    </xf>
    <xf numFmtId="0" fontId="7" fillId="2" borderId="15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17" fillId="2" borderId="18" xfId="0" applyFont="1" applyFill="1" applyBorder="1" applyAlignment="1">
      <alignment horizontal="center"/>
    </xf>
    <xf numFmtId="0" fontId="17" fillId="2" borderId="19" xfId="0" applyFont="1" applyFill="1" applyBorder="1" applyAlignment="1">
      <alignment horizontal="center"/>
    </xf>
    <xf numFmtId="0" fontId="1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 vertical="top"/>
    </xf>
    <xf numFmtId="0" fontId="5" fillId="2" borderId="25" xfId="0" applyFont="1" applyFill="1" applyBorder="1" applyAlignment="1">
      <alignment horizontal="center" vertical="top"/>
    </xf>
    <xf numFmtId="0" fontId="17" fillId="2" borderId="26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15" fillId="2" borderId="27" xfId="0" applyFont="1" applyFill="1" applyBorder="1" applyAlignment="1">
      <alignment horizontal="center"/>
    </xf>
    <xf numFmtId="0" fontId="12" fillId="2" borderId="27" xfId="0" applyFont="1" applyFill="1" applyBorder="1" applyAlignment="1">
      <alignment horizontal="center"/>
    </xf>
    <xf numFmtId="0" fontId="14" fillId="2" borderId="28" xfId="0" applyFont="1" applyFill="1" applyBorder="1" applyAlignment="1">
      <alignment horizontal="center"/>
    </xf>
    <xf numFmtId="0" fontId="7" fillId="0" borderId="7" xfId="0" applyFont="1" applyBorder="1"/>
    <xf numFmtId="0" fontId="18" fillId="0" borderId="0" xfId="0" applyFont="1" applyAlignment="1">
      <alignment horizontal="center" vertical="top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Post 5 Question 1: Accuracy Ratings by Identity Condition</a:t>
            </a:r>
            <a:endPara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series layoutId="boxWhisker" uniqueId="{44A65BBD-6D67-496F-8DC1-C35D35C8BEC4}">
          <cx:tx>
            <cx:txData>
              <cx:f>_xlchart.v1.0</cx:f>
              <cx:v>Anonymous</cx:v>
            </cx:txData>
          </cx:tx>
          <cx:dataId val="0"/>
          <cx:layoutPr>
            <cx:statistics quartileMethod="exclusive"/>
          </cx:layoutPr>
        </cx:series>
        <cx:series layoutId="boxWhisker" uniqueId="{1AF98B5E-261A-4F6B-A7CB-7D9893BEE99D}">
          <cx:tx>
            <cx:txData>
              <cx:f>_xlchart.v1.2</cx:f>
              <cx:v>Pseudonymous</cx:v>
            </cx:txData>
          </cx:tx>
          <cx:dataId val="1"/>
          <cx:layoutPr>
            <cx:statistics quartileMethod="exclusive"/>
          </cx:layoutPr>
        </cx:series>
        <cx:series layoutId="boxWhisker" uniqueId="{901BF312-61F2-4707-8A99-58B9D7484E2D}">
          <cx:tx>
            <cx:txData>
              <cx:f>_xlchart.v1.4</cx:f>
              <cx:v>Non-Anonymous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tle>
          <cx:tx>
            <cx:txData>
              <cx:v>Identity Condition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Identity Condition</a:t>
              </a:r>
            </a:p>
          </cx:txPr>
        </cx:title>
        <cx:tickLabels/>
      </cx:axis>
      <cx:axis id="1">
        <cx:valScaling max="4" min="1"/>
        <cx:title>
          <cx:tx>
            <cx:txData>
              <cx:v>Rating (1-4 Likert Scale)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Rating (1-4 Likert Scale)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  <cx:data id="1">
      <cx:numDim type="val">
        <cx:f>_xlchart.v1.8</cx:f>
      </cx:numDim>
    </cx:data>
    <cx:data id="2">
      <cx:numDim type="val">
        <cx:f>_xlchart.v1.10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>
                <a:latin typeface="Arial" panose="020B0604020202020204" pitchFamily="34" charset="0"/>
                <a:cs typeface="Arial" panose="020B0604020202020204" pitchFamily="34" charset="0"/>
              </a:rPr>
              <a:t>Post 5 Question 2: Trustworthiness Ratings by Identity Condition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series layoutId="boxWhisker" uniqueId="{4ACA997F-16CD-49B1-8DA5-3C002C9E8BF9}">
          <cx:tx>
            <cx:txData>
              <cx:f>_xlchart.v1.7</cx:f>
              <cx:v>Anonymous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8511A70-2982-4935-8D95-CDC544F50AC3}">
          <cx:tx>
            <cx:txData>
              <cx:f>_xlchart.v1.9</cx:f>
              <cx:v>Pseudonymous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2670C6FD-6041-4BCD-9FE0-EDED97B7E3EE}">
          <cx:tx>
            <cx:txData>
              <cx:f>_xlchart.v1.11</cx:f>
              <cx:v>Non-Anonymous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Identity Condition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Identity Condition</a:t>
              </a:r>
            </a:p>
          </cx:txPr>
        </cx:title>
        <cx:tickLabels/>
      </cx:axis>
      <cx:axis id="1">
        <cx:valScaling max="4" min="1"/>
        <cx:title>
          <cx:tx>
            <cx:txData>
              <cx:v>Rating (1-4 Likert Scale)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Rating (1-4 Likert Scale)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  <cx:data id="1">
      <cx:numDim type="val">
        <cx:f>_xlchart.v1.27</cx:f>
      </cx:numDim>
    </cx:data>
    <cx:data id="2">
      <cx:numDim type="val">
        <cx:f>_xlchart.v1.29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200">
                <a:latin typeface="Arial" panose="020B0604020202020204" pitchFamily="34" charset="0"/>
                <a:cs typeface="Arial" panose="020B0604020202020204" pitchFamily="34" charset="0"/>
              </a:rPr>
              <a:t>Post 5 Question 1: Accuracy Ratings by Identity Condition</a:t>
            </a:r>
            <a:endPara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series layoutId="boxWhisker" uniqueId="{4ACA997F-16CD-49B1-8DA5-3C002C9E8BF9}">
          <cx:tx>
            <cx:txData>
              <cx:f>_xlchart.v1.24</cx:f>
              <cx:v>Anonymous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8511A70-2982-4935-8D95-CDC544F50AC3}">
          <cx:tx>
            <cx:txData>
              <cx:f>_xlchart.v1.26</cx:f>
              <cx:v>Pseudonymous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2670C6FD-6041-4BCD-9FE0-EDED97B7E3EE}">
          <cx:tx>
            <cx:txData>
              <cx:f>_xlchart.v1.28</cx:f>
              <cx:v>Non-Anonymous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Identity Condition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Identity Condition</a:t>
              </a:r>
            </a:p>
          </cx:txPr>
        </cx:title>
        <cx:tickLabels/>
      </cx:axis>
      <cx:axis id="1">
        <cx:valScaling max="4" min="1"/>
        <cx:title>
          <cx:tx>
            <cx:txData>
              <cx:v>Rating (1-4 Likert Scale)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Rating (1-4 Likert Scale)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_xlchart.v1.30</cx:f>
      </cx:numDim>
    </cx:data>
    <cx:data id="1">
      <cx:numDim type="val">
        <cx:f>_xlchart.v1.32</cx:f>
      </cx:numDim>
    </cx:data>
    <cx:data id="2">
      <cx:numDim type="val">
        <cx:f>_xlchart.v1.34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>
                <a:latin typeface="Arial" panose="020B0604020202020204" pitchFamily="34" charset="0"/>
                <a:cs typeface="Arial" panose="020B0604020202020204" pitchFamily="34" charset="0"/>
              </a:rPr>
              <a:t>Post 5 Question 2: Trustworthiness Ratings by Identity Condition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series layoutId="boxWhisker" uniqueId="{4ACA997F-16CD-49B1-8DA5-3C002C9E8BF9}">
          <cx:tx>
            <cx:txData>
              <cx:f>_xlchart.v1.31</cx:f>
              <cx:v>Anonymous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8511A70-2982-4935-8D95-CDC544F50AC3}">
          <cx:tx>
            <cx:txData>
              <cx:f>_xlchart.v1.33</cx:f>
              <cx:v>Pseudonymous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2670C6FD-6041-4BCD-9FE0-EDED97B7E3EE}">
          <cx:tx>
            <cx:txData>
              <cx:f>_xlchart.v1.35</cx:f>
              <cx:v>Non-Anonymous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Identity Condition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Identity Condition</a:t>
              </a:r>
            </a:p>
          </cx:txPr>
        </cx:title>
        <cx:tickLabels/>
      </cx:axis>
      <cx:axis id="1">
        <cx:valScaling max="4" min="1"/>
        <cx:title>
          <cx:tx>
            <cx:txData>
              <cx:v>Rating (1-4 Likert Scale)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Rating (1-4 Likert Scale)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</cx:f>
      </cx:numDim>
    </cx:data>
    <cx:data id="1">
      <cx:numDim type="val">
        <cx:f>_xlchart.v1.39</cx:f>
      </cx:numDim>
    </cx:data>
    <cx:data id="2">
      <cx:numDim type="val">
        <cx:f>_xlchart.v1.41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>
                <a:latin typeface="Arial" panose="020B0604020202020204" pitchFamily="34" charset="0"/>
                <a:cs typeface="Arial" panose="020B0604020202020204" pitchFamily="34" charset="0"/>
              </a:rPr>
              <a:t>Post 5 Question 3: Controversy Perceptions by Identity Condition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series layoutId="boxWhisker" uniqueId="{4ACA997F-16CD-49B1-8DA5-3C002C9E8BF9}">
          <cx:tx>
            <cx:txData>
              <cx:f>_xlchart.v1.36</cx:f>
              <cx:v>Anonymous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8511A70-2982-4935-8D95-CDC544F50AC3}">
          <cx:tx>
            <cx:txData>
              <cx:f>_xlchart.v1.38</cx:f>
              <cx:v>Pseudonymous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2670C6FD-6041-4BCD-9FE0-EDED97B7E3EE}">
          <cx:tx>
            <cx:txData>
              <cx:f>_xlchart.v1.40</cx:f>
              <cx:v>Non-Anonymous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Identity Condition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Identity Condition</a:t>
              </a:r>
            </a:p>
          </cx:txPr>
        </cx:title>
        <cx:tickLabels/>
      </cx:axis>
      <cx:axis id="1">
        <cx:valScaling max="4" min="1"/>
        <cx:title>
          <cx:tx>
            <cx:txData>
              <cx:v>Rating (1-4 Likert Scale)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Rating (1-4 Likert Scale)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  <cx:data id="2">
      <cx:numDim type="val">
        <cx:f>_xlchart.v1.17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>
                <a:latin typeface="Arial" panose="020B0604020202020204" pitchFamily="34" charset="0"/>
                <a:cs typeface="Arial" panose="020B0604020202020204" pitchFamily="34" charset="0"/>
              </a:rPr>
              <a:t>Post 5 Question 4: Confidence Ratings by Identity Condition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series layoutId="boxWhisker" uniqueId="{4ACA997F-16CD-49B1-8DA5-3C002C9E8BF9}">
          <cx:tx>
            <cx:txData>
              <cx:f>_xlchart.v1.12</cx:f>
              <cx:v>Anonymous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8511A70-2982-4935-8D95-CDC544F50AC3}">
          <cx:tx>
            <cx:txData>
              <cx:f>_xlchart.v1.14</cx:f>
              <cx:v>Pseudonymous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2670C6FD-6041-4BCD-9FE0-EDED97B7E3EE}">
          <cx:tx>
            <cx:txData>
              <cx:f>_xlchart.v1.16</cx:f>
              <cx:v>Non-Anonymous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Identity Condition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Identity Condition</a:t>
              </a:r>
            </a:p>
          </cx:txPr>
        </cx:title>
        <cx:tickLabels/>
      </cx:axis>
      <cx:axis id="1">
        <cx:valScaling max="4" min="1"/>
        <cx:title>
          <cx:tx>
            <cx:txData>
              <cx:v>Rating (1-4 Likert Scale)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Rating (1-4 Likert Scale)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  <cx:data id="1">
      <cx:numDim type="val">
        <cx:f>_xlchart.v1.20</cx:f>
      </cx:numDim>
    </cx:data>
    <cx:data id="2">
      <cx:numDim type="val">
        <cx:f>_xlchart.v1.22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>
                <a:latin typeface="Arial" panose="020B0604020202020204" pitchFamily="34" charset="0"/>
                <a:cs typeface="Arial" panose="020B0604020202020204" pitchFamily="34" charset="0"/>
              </a:rPr>
              <a:t>Post 5 Question 5: Relevance Ratings by Identity Condition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rich>
      </cx:tx>
    </cx:title>
    <cx:plotArea>
      <cx:plotAreaRegion>
        <cx:series layoutId="boxWhisker" uniqueId="{4ACA997F-16CD-49B1-8DA5-3C002C9E8BF9}">
          <cx:tx>
            <cx:txData>
              <cx:f>_xlchart.v1.19</cx:f>
              <cx:v>Anonymous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8511A70-2982-4935-8D95-CDC544F50AC3}">
          <cx:tx>
            <cx:txData>
              <cx:f>_xlchart.v1.21</cx:f>
              <cx:v>Pseudonymous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2670C6FD-6041-4BCD-9FE0-EDED97B7E3EE}">
          <cx:tx>
            <cx:txData>
              <cx:f>_xlchart.v1.23</cx:f>
              <cx:v>Non-Anonymous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Identity Condition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Identity Condition</a:t>
              </a:r>
            </a:p>
          </cx:txPr>
        </cx:title>
        <cx:tickLabels/>
      </cx:axis>
      <cx:axis id="1">
        <cx:valScaling max="4" min="1"/>
        <cx:title>
          <cx:tx>
            <cx:txData>
              <cx:v>Rating (1-4 Likert Scale)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Rating (1-4 Likert Scale)</a:t>
              </a:r>
            </a:p>
          </cx:txPr>
        </cx:title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5.xml"/><Relationship Id="rId2" Type="http://schemas.microsoft.com/office/2014/relationships/chartEx" Target="../charts/chartEx4.xml"/><Relationship Id="rId1" Type="http://schemas.microsoft.com/office/2014/relationships/chartEx" Target="../charts/chartEx3.xml"/><Relationship Id="rId5" Type="http://schemas.microsoft.com/office/2014/relationships/chartEx" Target="../charts/chartEx7.xml"/><Relationship Id="rId4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18</xdr:col>
      <xdr:colOff>466725</xdr:colOff>
      <xdr:row>29</xdr:row>
      <xdr:rowOff>165894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E678863-F143-4502-8298-FE85A1FA3F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04550" y="1181100"/>
              <a:ext cx="6702425" cy="44521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977900</xdr:colOff>
      <xdr:row>31</xdr:row>
      <xdr:rowOff>25400</xdr:rowOff>
    </xdr:from>
    <xdr:to>
      <xdr:col>18</xdr:col>
      <xdr:colOff>460375</xdr:colOff>
      <xdr:row>57</xdr:row>
      <xdr:rowOff>32544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263D491-2706-4379-8786-767883D803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98200" y="5842000"/>
              <a:ext cx="6702425" cy="44521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436562</xdr:colOff>
      <xdr:row>2</xdr:row>
      <xdr:rowOff>53181</xdr:rowOff>
    </xdr:from>
    <xdr:to>
      <xdr:col>17</xdr:col>
      <xdr:colOff>484187</xdr:colOff>
      <xdr:row>27</xdr:row>
      <xdr:rowOff>31750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51D308A-22AB-7E1A-8860-D1F218B396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56862" y="821531"/>
              <a:ext cx="6657975" cy="43283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454025</xdr:colOff>
      <xdr:row>29</xdr:row>
      <xdr:rowOff>110331</xdr:rowOff>
    </xdr:from>
    <xdr:to>
      <xdr:col>17</xdr:col>
      <xdr:colOff>501650</xdr:colOff>
      <xdr:row>54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389EAA9-7ED6-4D56-B581-FAE74DD463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4325" y="5577681"/>
              <a:ext cx="6657975" cy="43219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455613</xdr:colOff>
      <xdr:row>56</xdr:row>
      <xdr:rowOff>32544</xdr:rowOff>
    </xdr:from>
    <xdr:to>
      <xdr:col>17</xdr:col>
      <xdr:colOff>503238</xdr:colOff>
      <xdr:row>81</xdr:row>
      <xdr:rowOff>87313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2433D35-A2FE-49EB-BB12-E80A9D9BD4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5913" y="10129044"/>
              <a:ext cx="6657975" cy="43283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481013</xdr:colOff>
      <xdr:row>83</xdr:row>
      <xdr:rowOff>57944</xdr:rowOff>
    </xdr:from>
    <xdr:to>
      <xdr:col>17</xdr:col>
      <xdr:colOff>528638</xdr:colOff>
      <xdr:row>108</xdr:row>
      <xdr:rowOff>112713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7DEAB02-65CE-4B5D-9D77-4F85F3BDEA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01313" y="14758194"/>
              <a:ext cx="6657975" cy="43283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481013</xdr:colOff>
      <xdr:row>110</xdr:row>
      <xdr:rowOff>108744</xdr:rowOff>
    </xdr:from>
    <xdr:to>
      <xdr:col>17</xdr:col>
      <xdr:colOff>528638</xdr:colOff>
      <xdr:row>136</xdr:row>
      <xdr:rowOff>36513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F920555A-405F-4621-91E3-E4B3AA2972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01313" y="19412744"/>
              <a:ext cx="6657975" cy="42711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kyM0\Documents\EASTERN\2025-2026%20Semesters%20(fifth%20year)\CSC%20450%20Senior%20Research\Final%20Paper\XRealStats.xlam" TargetMode="External"/><Relationship Id="rId1" Type="http://schemas.openxmlformats.org/officeDocument/2006/relationships/externalLinkPath" Target="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Kendall Tc"/>
      <sheetName val="Kendall u"/>
      <sheetName val="Page Table"/>
      <sheetName val="Prime"/>
      <sheetName val="MSSD"/>
      <sheetName val="Dict"/>
      <sheetName val="ADict"/>
      <sheetName val="L4 2"/>
      <sheetName val="L8 2"/>
      <sheetName val="L8 42"/>
      <sheetName val="L9 3"/>
      <sheetName val="L12 2"/>
      <sheetName val="L16 2"/>
      <sheetName val="L16 4"/>
      <sheetName val="L16 42a"/>
      <sheetName val="L18 23"/>
      <sheetName val="L18 63"/>
      <sheetName val="L25 5"/>
      <sheetName val="L27 3"/>
      <sheetName val="L32 2"/>
      <sheetName val="L32 24"/>
      <sheetName val="L36 23a"/>
      <sheetName val="L36 23b"/>
      <sheetName val="L50 25"/>
      <sheetName val="L54 23"/>
      <sheetName val="L64 4"/>
      <sheetName val="T2"/>
      <sheetName val="T3"/>
      <sheetName val="T4"/>
    </sheetNames>
    <definedNames>
      <definedName name="RANK_SUM"/>
      <definedName name="TiesCorrec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al-statistics.com/free-download/real-statistics-resource-pack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BB0F0-E286-47A9-8ABA-6BD310CC61FB}">
  <dimension ref="A1:M10"/>
  <sheetViews>
    <sheetView workbookViewId="0">
      <selection activeCell="B12" sqref="B12"/>
    </sheetView>
  </sheetViews>
  <sheetFormatPr defaultRowHeight="14.5"/>
  <cols>
    <col min="2" max="2" width="9.26953125" bestFit="1" customWidth="1"/>
  </cols>
  <sheetData>
    <row r="1" spans="1:13">
      <c r="A1" t="s">
        <v>11</v>
      </c>
    </row>
    <row r="2" spans="1:13">
      <c r="A2" t="s">
        <v>5</v>
      </c>
    </row>
    <row r="4" spans="1:13">
      <c r="A4" t="s">
        <v>12</v>
      </c>
      <c r="B4" s="1">
        <v>45473</v>
      </c>
    </row>
    <row r="6" spans="1:13">
      <c r="A6" s="2" t="s">
        <v>13</v>
      </c>
    </row>
    <row r="9" spans="1:13">
      <c r="A9" s="4" t="s">
        <v>16</v>
      </c>
    </row>
    <row r="10" spans="1:13" ht="18.5">
      <c r="M10" s="3"/>
    </row>
  </sheetData>
  <hyperlinks>
    <hyperlink ref="A9" r:id="rId1" xr:uid="{83F8E8B0-A21F-43FC-B53B-3D8B9D90DC9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CF88-FE2C-439C-A403-426B1DC980DB}">
  <dimension ref="A1:Y126"/>
  <sheetViews>
    <sheetView showGridLines="0" zoomScale="104" zoomScaleNormal="77" workbookViewId="0">
      <selection activeCell="F129" sqref="F129"/>
    </sheetView>
  </sheetViews>
  <sheetFormatPr defaultRowHeight="12.5"/>
  <cols>
    <col min="1" max="1" width="6.1796875" style="7" customWidth="1"/>
    <col min="2" max="2" width="6.453125" style="7" customWidth="1"/>
    <col min="3" max="3" width="15.7265625" style="7" customWidth="1"/>
    <col min="4" max="4" width="15.36328125" style="7" customWidth="1"/>
    <col min="5" max="5" width="16" style="7" customWidth="1"/>
    <col min="6" max="6" width="8.7265625" style="7"/>
    <col min="7" max="7" width="16.26953125" style="7" customWidth="1"/>
    <col min="8" max="9" width="15.36328125" style="7" customWidth="1"/>
    <col min="10" max="10" width="15.81640625" style="7" customWidth="1"/>
    <col min="11" max="11" width="12.1796875" style="7" customWidth="1"/>
    <col min="12" max="12" width="14.08984375" style="7" customWidth="1"/>
    <col min="13" max="15" width="18.6328125" style="7" customWidth="1"/>
    <col min="16" max="16" width="8.7265625" style="7"/>
    <col min="17" max="17" width="15.90625" style="7" customWidth="1"/>
    <col min="18" max="18" width="8.7265625" style="7"/>
    <col min="19" max="21" width="15" style="7" customWidth="1"/>
    <col min="22" max="16384" width="8.7265625" style="7"/>
  </cols>
  <sheetData>
    <row r="1" spans="1:25" ht="33.5" customHeight="1">
      <c r="A1" s="6"/>
      <c r="B1" s="63" t="s">
        <v>30</v>
      </c>
      <c r="C1" s="63"/>
      <c r="D1" s="63"/>
      <c r="E1" s="63"/>
      <c r="F1" s="63"/>
      <c r="G1" s="63"/>
      <c r="H1" s="63"/>
      <c r="I1" s="63"/>
      <c r="J1" s="63"/>
      <c r="K1" s="63"/>
    </row>
    <row r="2" spans="1:25" ht="27" customHeight="1">
      <c r="A2" s="6"/>
      <c r="B2" s="61" t="s">
        <v>29</v>
      </c>
      <c r="C2" s="62"/>
      <c r="D2" s="62"/>
      <c r="E2" s="62"/>
      <c r="F2" s="62"/>
      <c r="G2" s="62"/>
      <c r="H2" s="62"/>
      <c r="I2" s="62"/>
      <c r="J2" s="62"/>
      <c r="K2" s="62"/>
    </row>
    <row r="3" spans="1:25" ht="18.5" customHeight="1" thickBot="1">
      <c r="A3" s="6"/>
      <c r="B3" s="57" t="s">
        <v>28</v>
      </c>
      <c r="C3" s="57"/>
      <c r="D3" s="57"/>
      <c r="E3" s="57"/>
      <c r="F3" s="57"/>
      <c r="G3" s="57"/>
      <c r="H3" s="57"/>
      <c r="I3" s="57"/>
      <c r="J3" s="57"/>
      <c r="K3" s="57"/>
    </row>
    <row r="4" spans="1:25" ht="14" thickTop="1" thickBot="1">
      <c r="C4" s="58" t="s">
        <v>18</v>
      </c>
      <c r="D4" s="59"/>
      <c r="E4" s="60"/>
      <c r="G4" s="58" t="s">
        <v>19</v>
      </c>
      <c r="H4" s="59"/>
      <c r="I4" s="59"/>
      <c r="J4" s="60"/>
    </row>
    <row r="5" spans="1:25" ht="14" thickTop="1" thickBot="1">
      <c r="C5" s="8" t="s">
        <v>14</v>
      </c>
      <c r="D5" s="9" t="s">
        <v>15</v>
      </c>
      <c r="E5" s="10" t="s">
        <v>17</v>
      </c>
      <c r="G5" s="11"/>
      <c r="H5" s="27" t="str">
        <f>C5</f>
        <v>Anonymous</v>
      </c>
      <c r="I5" s="28" t="str">
        <f>D5</f>
        <v>Pseudonymous</v>
      </c>
      <c r="J5" s="29" t="str">
        <f>E5</f>
        <v>Non-Anonymous</v>
      </c>
      <c r="S5" s="12"/>
      <c r="T5" s="12"/>
      <c r="U5" s="12"/>
    </row>
    <row r="6" spans="1:25" ht="13.5" thickTop="1">
      <c r="C6" s="33">
        <v>4</v>
      </c>
      <c r="D6" s="34">
        <v>3</v>
      </c>
      <c r="E6" s="35">
        <v>2</v>
      </c>
      <c r="F6" s="16"/>
      <c r="G6" s="22" t="s">
        <v>6</v>
      </c>
      <c r="H6" s="37">
        <f t="array" ref="H6">MIN(IF(ISBLANK(C6:C15),"",IF(C6:C15&gt;=H7-$C19*(H9-H7),C6:C15,"")))</f>
        <v>3</v>
      </c>
      <c r="I6" s="38">
        <f t="array" ref="I6">MIN(IF(ISBLANK(D6:D15),"",IF(D6:D15&gt;=I7-$C19*(I9-I7),D6:D15,"")))</f>
        <v>3</v>
      </c>
      <c r="J6" s="39">
        <f t="array" ref="J6">MIN(IF(ISBLANK(E6:E15),"",IF(E6:E15&gt;=J7-$C19*(J9-J7),E6:E15,"")))</f>
        <v>2</v>
      </c>
    </row>
    <row r="7" spans="1:25" ht="13">
      <c r="C7" s="33">
        <v>2</v>
      </c>
      <c r="D7" s="34">
        <v>2</v>
      </c>
      <c r="E7" s="35">
        <v>4</v>
      </c>
      <c r="G7" s="23" t="s">
        <v>7</v>
      </c>
      <c r="H7" s="40">
        <f>_xlfn.QUARTILE.INC(C6:C15,1)</f>
        <v>2.25</v>
      </c>
      <c r="I7" s="41">
        <f>_xlfn.QUARTILE.INC(D6:D15,1)</f>
        <v>2.25</v>
      </c>
      <c r="J7" s="42">
        <f>_xlfn.QUARTILE.INC(E6:E15,1)</f>
        <v>2</v>
      </c>
      <c r="W7" s="16"/>
      <c r="X7" s="16"/>
      <c r="Y7" s="16"/>
    </row>
    <row r="8" spans="1:25" ht="13">
      <c r="C8" s="33">
        <v>4</v>
      </c>
      <c r="D8" s="34">
        <v>3</v>
      </c>
      <c r="E8" s="35">
        <v>2</v>
      </c>
      <c r="G8" s="36" t="s">
        <v>8</v>
      </c>
      <c r="H8" s="43">
        <f>MEDIAN(C6:C15)</f>
        <v>3</v>
      </c>
      <c r="I8" s="44">
        <f>MEDIAN(D6:D15)</f>
        <v>3</v>
      </c>
      <c r="J8" s="45">
        <f>MEDIAN(E6:E15)</f>
        <v>2.5</v>
      </c>
    </row>
    <row r="9" spans="1:25" ht="13">
      <c r="C9" s="33">
        <v>3</v>
      </c>
      <c r="D9" s="34">
        <v>2</v>
      </c>
      <c r="E9" s="35">
        <v>3</v>
      </c>
      <c r="G9" s="23" t="s">
        <v>9</v>
      </c>
      <c r="H9" s="40">
        <f>_xlfn.QUARTILE.INC(C6:C15,3)</f>
        <v>3.75</v>
      </c>
      <c r="I9" s="41">
        <f>_xlfn.QUARTILE.INC(D6:D15,3)</f>
        <v>3</v>
      </c>
      <c r="J9" s="42">
        <f>_xlfn.QUARTILE.INC(E6:E15,3)</f>
        <v>3.75</v>
      </c>
    </row>
    <row r="10" spans="1:25" ht="13">
      <c r="C10" s="33">
        <v>3</v>
      </c>
      <c r="D10" s="34">
        <v>3</v>
      </c>
      <c r="E10" s="35">
        <v>2</v>
      </c>
      <c r="G10" s="23" t="s">
        <v>10</v>
      </c>
      <c r="H10" s="40">
        <f t="array" ref="H10">MAX(IF(ISBLANK(C6:C15),"",IF(C6:C15&lt;=H9+$C19*(H9-H7),C6:C15,"")))</f>
        <v>3</v>
      </c>
      <c r="I10" s="41">
        <f t="array" ref="I10">MAX(IF(ISBLANK(D6:D15),"",IF(D6:D15&lt;=I9+$C19*(I9-I7),D6:D15,"")))</f>
        <v>3</v>
      </c>
      <c r="J10" s="42">
        <f t="array" ref="J10">MAX(IF(ISBLANK(E6:E15),"",IF(E6:E15&lt;=J9+$C19*(J9-J7),E6:E15,"")))</f>
        <v>3</v>
      </c>
    </row>
    <row r="11" spans="1:25" ht="13">
      <c r="C11" s="33">
        <v>2</v>
      </c>
      <c r="D11" s="34">
        <v>3</v>
      </c>
      <c r="E11" s="35">
        <v>4</v>
      </c>
      <c r="G11" s="36" t="s">
        <v>0</v>
      </c>
      <c r="H11" s="43">
        <f>AVERAGE(C6:C15)</f>
        <v>3</v>
      </c>
      <c r="I11" s="44">
        <f>AVERAGE(D6:D15)</f>
        <v>2.6666666666666665</v>
      </c>
      <c r="J11" s="45">
        <f>AVERAGE(E6:E15)</f>
        <v>2.8333333333333335</v>
      </c>
    </row>
    <row r="12" spans="1:25" ht="13.5" thickBot="1">
      <c r="C12" s="13"/>
      <c r="D12" s="14"/>
      <c r="E12" s="15"/>
      <c r="G12" s="24" t="s">
        <v>1</v>
      </c>
      <c r="H12" s="46">
        <f>VAR(C6:C15)</f>
        <v>0.8</v>
      </c>
      <c r="I12" s="47">
        <f>VAR(D6:D15)</f>
        <v>0.26666666666666716</v>
      </c>
      <c r="J12" s="48">
        <f>VAR(E6:E15)</f>
        <v>0.96666666666666712</v>
      </c>
    </row>
    <row r="13" spans="1:25" ht="14" thickTop="1" thickBot="1">
      <c r="C13" s="13"/>
      <c r="D13" s="14"/>
      <c r="E13" s="15"/>
      <c r="G13" s="56"/>
      <c r="W13" s="16"/>
      <c r="X13" s="16"/>
      <c r="Y13" s="16"/>
    </row>
    <row r="14" spans="1:25" ht="14" thickTop="1" thickBot="1">
      <c r="C14" s="13"/>
      <c r="D14" s="14"/>
      <c r="E14" s="15"/>
      <c r="G14" s="58" t="s">
        <v>20</v>
      </c>
      <c r="H14" s="59"/>
      <c r="I14" s="59"/>
      <c r="J14" s="59"/>
      <c r="K14" s="60"/>
    </row>
    <row r="15" spans="1:25" ht="14" thickTop="1" thickBot="1">
      <c r="C15" s="17"/>
      <c r="D15" s="18"/>
      <c r="E15" s="19"/>
      <c r="G15" s="11"/>
      <c r="H15" s="8" t="str">
        <f>C5</f>
        <v>Anonymous</v>
      </c>
      <c r="I15" s="9" t="str">
        <f>D5</f>
        <v>Pseudonymous</v>
      </c>
      <c r="J15" s="10" t="str">
        <f>E5</f>
        <v>Non-Anonymous</v>
      </c>
      <c r="K15" s="20"/>
    </row>
    <row r="16" spans="1:25" ht="14" thickTop="1" thickBot="1">
      <c r="B16" s="21"/>
      <c r="G16" s="22" t="s">
        <v>21</v>
      </c>
      <c r="H16" s="37">
        <f>[1]!RANK_SUM(C6:E15, 1,1)</f>
        <v>63</v>
      </c>
      <c r="I16" s="38">
        <f>[1]!RANK_SUM(C6:E15, 2,1)</f>
        <v>52</v>
      </c>
      <c r="J16" s="39">
        <f>[1]!RANK_SUM(C6:E15, 3,1)</f>
        <v>56</v>
      </c>
      <c r="K16" s="5" t="s">
        <v>26</v>
      </c>
      <c r="R16" s="21"/>
    </row>
    <row r="17" spans="2:23" ht="13.5" thickTop="1">
      <c r="G17" s="23" t="s">
        <v>4</v>
      </c>
      <c r="H17" s="40">
        <f>COUNT(C6:C15)</f>
        <v>6</v>
      </c>
      <c r="I17" s="41">
        <f>COUNT(D6:D15)</f>
        <v>6</v>
      </c>
      <c r="J17" s="42">
        <f>COUNT(E6:E15)</f>
        <v>6</v>
      </c>
      <c r="K17" s="49">
        <f>SUM(H17:J17)</f>
        <v>18</v>
      </c>
    </row>
    <row r="18" spans="2:23" ht="15.5" thickBot="1">
      <c r="G18" s="24" t="s">
        <v>27</v>
      </c>
      <c r="H18" s="46">
        <f>H16^2/H17</f>
        <v>661.5</v>
      </c>
      <c r="I18" s="47">
        <f t="shared" ref="I18:J18" si="0">I16^2/I17</f>
        <v>450.66666666666669</v>
      </c>
      <c r="J18" s="48">
        <f t="shared" si="0"/>
        <v>522.66666666666663</v>
      </c>
      <c r="K18" s="50">
        <f>SUM(H18:J18)</f>
        <v>1634.8333333333335</v>
      </c>
      <c r="R18" s="21"/>
    </row>
    <row r="19" spans="2:23" ht="14" thickTop="1" thickBot="1">
      <c r="B19" s="21"/>
      <c r="R19" s="21"/>
    </row>
    <row r="20" spans="2:23" ht="13.5" thickTop="1">
      <c r="G20" s="30" t="s">
        <v>24</v>
      </c>
      <c r="H20" s="51">
        <f>12*K18/(K17*(K17+1))-3*(K17+1)</f>
        <v>0.36257309941520788</v>
      </c>
      <c r="J20" s="21"/>
      <c r="R20" s="21"/>
    </row>
    <row r="21" spans="2:23" ht="13">
      <c r="G21" s="31" t="s">
        <v>22</v>
      </c>
      <c r="H21" s="52">
        <f>H20/(1-[1]!TiesCorrection(C6:E15)/(27*(27^2-1)))</f>
        <v>0.37659780395821846</v>
      </c>
      <c r="R21" s="21"/>
    </row>
    <row r="22" spans="2:23" ht="13">
      <c r="G22" s="31" t="s">
        <v>3</v>
      </c>
      <c r="H22" s="53">
        <f>COUNTA(H15:J15)-1</f>
        <v>2</v>
      </c>
      <c r="R22" s="21"/>
    </row>
    <row r="23" spans="2:23" ht="13">
      <c r="G23" s="31" t="s">
        <v>2</v>
      </c>
      <c r="H23" s="54">
        <f>_xlfn.CHISQ.DIST.RT(H21,H22)</f>
        <v>0.82836706966829254</v>
      </c>
      <c r="R23" s="21"/>
      <c r="V23" s="25"/>
    </row>
    <row r="24" spans="2:23" ht="13">
      <c r="G24" s="31" t="s">
        <v>25</v>
      </c>
      <c r="H24" s="52">
        <v>0.05</v>
      </c>
    </row>
    <row r="25" spans="2:23" ht="13.5" thickBot="1">
      <c r="G25" s="32" t="s">
        <v>23</v>
      </c>
      <c r="H25" s="55" t="str">
        <f>IF(H23&lt;H24,"Signficant","No significance")</f>
        <v>No significance</v>
      </c>
    </row>
    <row r="26" spans="2:23" ht="13" thickTop="1"/>
    <row r="27" spans="2:23" ht="13">
      <c r="B27" s="61" t="s">
        <v>31</v>
      </c>
      <c r="C27" s="62"/>
      <c r="D27" s="62"/>
      <c r="E27" s="62"/>
      <c r="F27" s="62"/>
      <c r="G27" s="62"/>
      <c r="H27" s="62"/>
      <c r="I27" s="62"/>
      <c r="J27" s="62"/>
      <c r="K27" s="62"/>
    </row>
    <row r="28" spans="2:23" ht="13.5" thickBot="1">
      <c r="B28" s="57" t="s">
        <v>28</v>
      </c>
      <c r="C28" s="57"/>
      <c r="D28" s="57"/>
      <c r="E28" s="57"/>
      <c r="F28" s="57"/>
      <c r="G28" s="57"/>
      <c r="H28" s="57"/>
      <c r="I28" s="57"/>
      <c r="J28" s="57"/>
      <c r="K28" s="57"/>
      <c r="Q28" s="16"/>
      <c r="R28" s="16"/>
      <c r="S28" s="16"/>
      <c r="T28" s="16"/>
      <c r="U28" s="16"/>
      <c r="V28" s="16"/>
      <c r="W28" s="16"/>
    </row>
    <row r="29" spans="2:23" ht="14" thickTop="1" thickBot="1">
      <c r="C29" s="58" t="s">
        <v>35</v>
      </c>
      <c r="D29" s="59"/>
      <c r="E29" s="60"/>
      <c r="G29" s="58" t="s">
        <v>19</v>
      </c>
      <c r="H29" s="59"/>
      <c r="I29" s="59"/>
      <c r="J29" s="60"/>
    </row>
    <row r="30" spans="2:23" ht="14" thickTop="1" thickBot="1">
      <c r="C30" s="8" t="s">
        <v>14</v>
      </c>
      <c r="D30" s="9" t="s">
        <v>15</v>
      </c>
      <c r="E30" s="10" t="s">
        <v>17</v>
      </c>
      <c r="G30" s="11"/>
      <c r="H30" s="27" t="str">
        <f>C30</f>
        <v>Anonymous</v>
      </c>
      <c r="I30" s="28" t="str">
        <f>D30</f>
        <v>Pseudonymous</v>
      </c>
      <c r="J30" s="29" t="str">
        <f>E30</f>
        <v>Non-Anonymous</v>
      </c>
    </row>
    <row r="31" spans="2:23" ht="13.5" thickTop="1">
      <c r="C31" s="33">
        <v>3</v>
      </c>
      <c r="D31" s="34">
        <v>2</v>
      </c>
      <c r="E31" s="35">
        <v>3</v>
      </c>
      <c r="F31" s="16"/>
      <c r="G31" s="22" t="s">
        <v>6</v>
      </c>
      <c r="H31" s="37">
        <f t="array" ref="H31">MIN(IF(ISBLANK(C31:C40),"",IF(C31:C40&gt;=H32-$C44*(H34-H32),C31:C40,"")))</f>
        <v>2</v>
      </c>
      <c r="I31" s="38">
        <f t="array" ref="I31">MIN(IF(ISBLANK(D31:D40),"",IF(D31:D40&gt;=I32-$C44*(I34-I32),D31:D40,"")))</f>
        <v>2</v>
      </c>
      <c r="J31" s="39">
        <f t="array" ref="J31">MIN(IF(ISBLANK(E31:E40),"",IF(E31:E40&gt;=J32-$C44*(J34-J32),E31:E40,"")))</f>
        <v>2</v>
      </c>
    </row>
    <row r="32" spans="2:23" ht="13">
      <c r="C32" s="33">
        <v>2</v>
      </c>
      <c r="D32" s="34">
        <v>2</v>
      </c>
      <c r="E32" s="35">
        <v>2</v>
      </c>
      <c r="G32" s="23" t="s">
        <v>7</v>
      </c>
      <c r="H32" s="40">
        <f>_xlfn.QUARTILE.INC(C31:C40,1)</f>
        <v>2</v>
      </c>
      <c r="I32" s="41">
        <f>_xlfn.QUARTILE.INC(D31:D40,1)</f>
        <v>2</v>
      </c>
      <c r="J32" s="42">
        <f>_xlfn.QUARTILE.INC(E31:E40,1)</f>
        <v>2</v>
      </c>
    </row>
    <row r="33" spans="2:25" ht="13">
      <c r="C33" s="33">
        <v>3</v>
      </c>
      <c r="D33" s="34">
        <v>2</v>
      </c>
      <c r="E33" s="35">
        <v>3</v>
      </c>
      <c r="G33" s="36" t="s">
        <v>8</v>
      </c>
      <c r="H33" s="43">
        <f>MEDIAN(C31:C40)</f>
        <v>2.5</v>
      </c>
      <c r="I33" s="44">
        <f>MEDIAN(D31:D40)</f>
        <v>2</v>
      </c>
      <c r="J33" s="45">
        <f>MEDIAN(E31:E40)</f>
        <v>2</v>
      </c>
    </row>
    <row r="34" spans="2:25" ht="13">
      <c r="C34" s="33">
        <v>3</v>
      </c>
      <c r="D34" s="34">
        <v>2</v>
      </c>
      <c r="E34" s="35">
        <v>2</v>
      </c>
      <c r="G34" s="23" t="s">
        <v>9</v>
      </c>
      <c r="H34" s="40">
        <f>_xlfn.QUARTILE.INC(C31:C40,3)</f>
        <v>3</v>
      </c>
      <c r="I34" s="41">
        <f>_xlfn.QUARTILE.INC(D31:D40,3)</f>
        <v>2</v>
      </c>
      <c r="J34" s="42">
        <f>_xlfn.QUARTILE.INC(E31:E40,3)</f>
        <v>2.75</v>
      </c>
    </row>
    <row r="35" spans="2:25" ht="13">
      <c r="C35" s="33">
        <v>1</v>
      </c>
      <c r="D35" s="34">
        <v>2</v>
      </c>
      <c r="E35" s="35">
        <v>2</v>
      </c>
      <c r="G35" s="23" t="s">
        <v>10</v>
      </c>
      <c r="H35" s="40">
        <f t="array" ref="H35">MAX(IF(ISBLANK(C31:C40),"",IF(C31:C40&lt;=H34+$C44*(H34-H32),C31:C40,"")))</f>
        <v>3</v>
      </c>
      <c r="I35" s="41">
        <f t="array" ref="I35">MAX(IF(ISBLANK(D31:D40),"",IF(D31:D40&lt;=I34+$C44*(I34-I32),D31:D40,"")))</f>
        <v>2</v>
      </c>
      <c r="J35" s="42">
        <f t="array" ref="J35">MAX(IF(ISBLANK(E31:E40),"",IF(E31:E40&lt;=J34+$C44*(J34-J32),E31:E40,"")))</f>
        <v>2</v>
      </c>
    </row>
    <row r="36" spans="2:25" ht="13">
      <c r="C36" s="33">
        <v>2</v>
      </c>
      <c r="D36" s="34">
        <v>4</v>
      </c>
      <c r="E36" s="35">
        <v>2</v>
      </c>
      <c r="G36" s="36" t="s">
        <v>0</v>
      </c>
      <c r="H36" s="43">
        <f>AVERAGE(C31:C40)</f>
        <v>2.3333333333333335</v>
      </c>
      <c r="I36" s="44">
        <f>AVERAGE(D31:D40)</f>
        <v>2.3333333333333335</v>
      </c>
      <c r="J36" s="45">
        <f>AVERAGE(E31:E40)</f>
        <v>2.3333333333333335</v>
      </c>
    </row>
    <row r="37" spans="2:25" ht="13.5" thickBot="1">
      <c r="C37" s="13"/>
      <c r="D37" s="14"/>
      <c r="E37" s="15"/>
      <c r="G37" s="24" t="s">
        <v>1</v>
      </c>
      <c r="H37" s="46">
        <f>VAR(C31:C40)</f>
        <v>0.66666666666666718</v>
      </c>
      <c r="I37" s="47">
        <f>VAR(D31:D40)</f>
        <v>0.66666666666666718</v>
      </c>
      <c r="J37" s="48">
        <f>VAR(E31:E40)</f>
        <v>0.26666666666666716</v>
      </c>
      <c r="Q37" s="16"/>
      <c r="R37" s="16"/>
      <c r="S37" s="16"/>
      <c r="T37" s="16"/>
      <c r="U37" s="16"/>
      <c r="V37" s="16"/>
      <c r="W37" s="16"/>
      <c r="X37" s="16"/>
      <c r="Y37" s="16"/>
    </row>
    <row r="38" spans="2:25" ht="13.5" thickTop="1" thickBot="1">
      <c r="C38" s="13"/>
      <c r="D38" s="14"/>
      <c r="E38" s="15"/>
      <c r="G38" s="56"/>
    </row>
    <row r="39" spans="2:25" ht="14" thickTop="1" thickBot="1">
      <c r="C39" s="13"/>
      <c r="D39" s="14"/>
      <c r="E39" s="15"/>
      <c r="G39" s="58" t="s">
        <v>20</v>
      </c>
      <c r="H39" s="59"/>
      <c r="I39" s="59"/>
      <c r="J39" s="59"/>
      <c r="K39" s="60"/>
    </row>
    <row r="40" spans="2:25" ht="14" thickTop="1" thickBot="1">
      <c r="C40" s="17"/>
      <c r="D40" s="18"/>
      <c r="E40" s="19"/>
      <c r="G40" s="11"/>
      <c r="H40" s="8" t="str">
        <f>C30</f>
        <v>Anonymous</v>
      </c>
      <c r="I40" s="9" t="str">
        <f>D30</f>
        <v>Pseudonymous</v>
      </c>
      <c r="J40" s="10" t="str">
        <f>E30</f>
        <v>Non-Anonymous</v>
      </c>
      <c r="K40" s="20"/>
    </row>
    <row r="41" spans="2:25" ht="14" thickTop="1" thickBot="1">
      <c r="B41" s="21"/>
      <c r="G41" s="22" t="s">
        <v>21</v>
      </c>
      <c r="H41" s="37">
        <f>[1]!RANK_SUM(C31:E40, 1,1)</f>
        <v>60</v>
      </c>
      <c r="I41" s="38">
        <f>[1]!RANK_SUM(C31:E40, 2,1)</f>
        <v>53</v>
      </c>
      <c r="J41" s="39">
        <f>[1]!RANK_SUM(C31:E40, 3,1)</f>
        <v>58</v>
      </c>
      <c r="K41" s="5" t="s">
        <v>26</v>
      </c>
    </row>
    <row r="42" spans="2:25" ht="13.5" thickTop="1">
      <c r="G42" s="23" t="s">
        <v>4</v>
      </c>
      <c r="H42" s="40">
        <f>COUNT(C31:C40)</f>
        <v>6</v>
      </c>
      <c r="I42" s="41">
        <f>COUNT(D31:D40)</f>
        <v>6</v>
      </c>
      <c r="J42" s="42">
        <f>COUNT(E31:E40)</f>
        <v>6</v>
      </c>
      <c r="K42" s="49">
        <f>SUM(H42:J42)</f>
        <v>18</v>
      </c>
    </row>
    <row r="43" spans="2:25" ht="15.5" thickBot="1">
      <c r="G43" s="24" t="s">
        <v>27</v>
      </c>
      <c r="H43" s="46">
        <f>H41^2/H42</f>
        <v>600</v>
      </c>
      <c r="I43" s="47">
        <f t="shared" ref="I43:J43" si="1">I41^2/I42</f>
        <v>468.16666666666669</v>
      </c>
      <c r="J43" s="48">
        <f t="shared" si="1"/>
        <v>560.66666666666663</v>
      </c>
      <c r="K43" s="50">
        <f>SUM(H43:J43)</f>
        <v>1628.8333333333335</v>
      </c>
      <c r="Q43" s="16"/>
      <c r="R43" s="16"/>
      <c r="S43" s="16"/>
      <c r="T43" s="16"/>
      <c r="U43" s="16"/>
      <c r="V43" s="16"/>
      <c r="W43" s="16"/>
      <c r="X43" s="16"/>
      <c r="Y43" s="16"/>
    </row>
    <row r="44" spans="2:25" ht="14" thickTop="1" thickBot="1">
      <c r="B44" s="21"/>
    </row>
    <row r="45" spans="2:25" ht="13.5" thickTop="1">
      <c r="G45" s="30" t="s">
        <v>24</v>
      </c>
      <c r="H45" s="51">
        <f>12*K43/(K42*(K42+1))-3*(K42+1)</f>
        <v>0.15204678362572821</v>
      </c>
      <c r="J45" s="21"/>
    </row>
    <row r="46" spans="2:25" ht="13">
      <c r="G46" s="31" t="s">
        <v>22</v>
      </c>
      <c r="H46" s="52">
        <f>H45/(1-[1]!TiesCorrection(C31:E40)/(27*(27^2-1)))</f>
        <v>0.1640662922127423</v>
      </c>
    </row>
    <row r="47" spans="2:25" ht="13">
      <c r="G47" s="31" t="s">
        <v>3</v>
      </c>
      <c r="H47" s="53">
        <f>COUNTA(H40:J40)-1</f>
        <v>2</v>
      </c>
    </row>
    <row r="48" spans="2:25" ht="13">
      <c r="G48" s="31" t="s">
        <v>2</v>
      </c>
      <c r="H48" s="54">
        <f>_xlfn.CHISQ.DIST.RT(H46,H47)</f>
        <v>0.9212414226240877</v>
      </c>
      <c r="L48" s="26"/>
      <c r="M48" s="26"/>
      <c r="N48" s="26"/>
    </row>
    <row r="49" spans="2:23" ht="13">
      <c r="G49" s="31" t="s">
        <v>25</v>
      </c>
      <c r="H49" s="52">
        <v>0.05</v>
      </c>
    </row>
    <row r="50" spans="2:23" ht="13.5" thickBot="1">
      <c r="G50" s="32" t="s">
        <v>23</v>
      </c>
      <c r="H50" s="55" t="str">
        <f>IF(H48&lt;H49,"Signficant","No significance")</f>
        <v>No significance</v>
      </c>
    </row>
    <row r="51" spans="2:23" ht="13.5" thickTop="1">
      <c r="Q51" s="16"/>
      <c r="R51" s="16"/>
      <c r="S51" s="16"/>
      <c r="T51" s="16"/>
      <c r="U51" s="16"/>
    </row>
    <row r="52" spans="2:23" ht="13">
      <c r="B52" s="61" t="s">
        <v>34</v>
      </c>
      <c r="C52" s="62"/>
      <c r="D52" s="62"/>
      <c r="E52" s="62"/>
      <c r="F52" s="62"/>
      <c r="G52" s="62"/>
      <c r="H52" s="62"/>
      <c r="I52" s="62"/>
      <c r="J52" s="62"/>
      <c r="K52" s="62"/>
    </row>
    <row r="53" spans="2:23" ht="13" thickBot="1">
      <c r="B53" s="57" t="s">
        <v>28</v>
      </c>
      <c r="C53" s="57"/>
      <c r="D53" s="57"/>
      <c r="E53" s="57"/>
      <c r="F53" s="57"/>
      <c r="G53" s="57"/>
      <c r="H53" s="57"/>
      <c r="I53" s="57"/>
      <c r="J53" s="57"/>
      <c r="K53" s="57"/>
    </row>
    <row r="54" spans="2:23" ht="14" thickTop="1" thickBot="1">
      <c r="C54" s="58" t="s">
        <v>36</v>
      </c>
      <c r="D54" s="59"/>
      <c r="E54" s="60"/>
      <c r="G54" s="58" t="s">
        <v>19</v>
      </c>
      <c r="H54" s="59"/>
      <c r="I54" s="59"/>
      <c r="J54" s="60"/>
    </row>
    <row r="55" spans="2:23" ht="14" thickTop="1" thickBot="1">
      <c r="C55" s="8" t="s">
        <v>14</v>
      </c>
      <c r="D55" s="9" t="s">
        <v>15</v>
      </c>
      <c r="E55" s="10" t="s">
        <v>17</v>
      </c>
      <c r="G55" s="11"/>
      <c r="H55" s="27" t="str">
        <f>C55</f>
        <v>Anonymous</v>
      </c>
      <c r="I55" s="28" t="str">
        <f>D55</f>
        <v>Pseudonymous</v>
      </c>
      <c r="J55" s="29" t="str">
        <f>E55</f>
        <v>Non-Anonymous</v>
      </c>
    </row>
    <row r="56" spans="2:23" ht="13.5" thickTop="1">
      <c r="C56" s="33">
        <v>1</v>
      </c>
      <c r="D56" s="34">
        <v>1</v>
      </c>
      <c r="E56" s="35">
        <v>1</v>
      </c>
      <c r="F56" s="16"/>
      <c r="G56" s="22" t="s">
        <v>6</v>
      </c>
      <c r="H56" s="37">
        <f t="array" ref="H56">MIN(IF(ISBLANK(C56:C65),"",IF(C56:C65&gt;=H57-$C69*(H59-H57),C56:C65,"")))</f>
        <v>1</v>
      </c>
      <c r="I56" s="38">
        <f t="array" ref="I56">MIN(IF(ISBLANK(D56:D65),"",IF(D56:D65&gt;=I57-$C69*(I59-I57),D56:D65,"")))</f>
        <v>1</v>
      </c>
      <c r="J56" s="39">
        <f t="array" ref="J56">MIN(IF(ISBLANK(E56:E65),"",IF(E56:E65&gt;=J57-$C69*(J59-J57),E56:E65,"")))</f>
        <v>1</v>
      </c>
    </row>
    <row r="57" spans="2:23" ht="13">
      <c r="C57" s="33">
        <v>3</v>
      </c>
      <c r="D57" s="34">
        <v>1</v>
      </c>
      <c r="E57" s="35">
        <v>1</v>
      </c>
      <c r="G57" s="23" t="s">
        <v>7</v>
      </c>
      <c r="H57" s="40">
        <f>_xlfn.QUARTILE.INC(C56:C65,1)</f>
        <v>1</v>
      </c>
      <c r="I57" s="41">
        <f>_xlfn.QUARTILE.INC(D56:D65,1)</f>
        <v>1</v>
      </c>
      <c r="J57" s="42">
        <f>_xlfn.QUARTILE.INC(E56:E65,1)</f>
        <v>1</v>
      </c>
    </row>
    <row r="58" spans="2:23" ht="13">
      <c r="C58" s="33">
        <v>1</v>
      </c>
      <c r="D58" s="34">
        <v>1</v>
      </c>
      <c r="E58" s="35">
        <v>1</v>
      </c>
      <c r="G58" s="36" t="s">
        <v>8</v>
      </c>
      <c r="H58" s="43">
        <f>MEDIAN(C56:C65)</f>
        <v>1</v>
      </c>
      <c r="I58" s="44">
        <f>MEDIAN(D56:D65)</f>
        <v>1</v>
      </c>
      <c r="J58" s="45">
        <f>MEDIAN(E56:E65)</f>
        <v>1</v>
      </c>
      <c r="Q58" s="16"/>
      <c r="R58" s="16"/>
      <c r="S58" s="16"/>
      <c r="T58" s="16"/>
      <c r="U58" s="16"/>
      <c r="V58" s="16"/>
      <c r="W58" s="16"/>
    </row>
    <row r="59" spans="2:23" ht="13">
      <c r="C59" s="33">
        <v>1</v>
      </c>
      <c r="D59" s="34">
        <v>1</v>
      </c>
      <c r="E59" s="35">
        <v>1</v>
      </c>
      <c r="G59" s="23" t="s">
        <v>9</v>
      </c>
      <c r="H59" s="40">
        <f>_xlfn.QUARTILE.INC(C56:C65,3)</f>
        <v>1</v>
      </c>
      <c r="I59" s="41">
        <f>_xlfn.QUARTILE.INC(D56:D65,3)</f>
        <v>1</v>
      </c>
      <c r="J59" s="42">
        <f>_xlfn.QUARTILE.INC(E56:E65,3)</f>
        <v>1</v>
      </c>
    </row>
    <row r="60" spans="2:23" ht="13">
      <c r="C60" s="33">
        <v>1</v>
      </c>
      <c r="D60" s="34">
        <v>1</v>
      </c>
      <c r="E60" s="35">
        <v>1</v>
      </c>
      <c r="G60" s="23" t="s">
        <v>10</v>
      </c>
      <c r="H60" s="40">
        <f t="array" ref="H60">MAX(IF(ISBLANK(C56:C65),"",IF(C56:C65&lt;=H59+$C69*(H59-H57),C56:C65,"")))</f>
        <v>1</v>
      </c>
      <c r="I60" s="41">
        <f t="array" ref="I60">MAX(IF(ISBLANK(D56:D65),"",IF(D56:D65&lt;=I59+$C69*(I59-I57),D56:D65,"")))</f>
        <v>1</v>
      </c>
      <c r="J60" s="42">
        <f t="array" ref="J60">MAX(IF(ISBLANK(E56:E65),"",IF(E56:E65&lt;=J59+$C69*(J59-J57),E56:E65,"")))</f>
        <v>1</v>
      </c>
    </row>
    <row r="61" spans="2:23" ht="13">
      <c r="C61" s="33">
        <v>1</v>
      </c>
      <c r="D61" s="34">
        <v>1</v>
      </c>
      <c r="E61" s="35">
        <v>1</v>
      </c>
      <c r="G61" s="36" t="s">
        <v>0</v>
      </c>
      <c r="H61" s="43">
        <f>AVERAGE(C56:C65)</f>
        <v>1.3333333333333333</v>
      </c>
      <c r="I61" s="44">
        <f>AVERAGE(D56:D65)</f>
        <v>1</v>
      </c>
      <c r="J61" s="45">
        <f>AVERAGE(E56:E65)</f>
        <v>1</v>
      </c>
    </row>
    <row r="62" spans="2:23" ht="13.5" thickBot="1">
      <c r="C62" s="13"/>
      <c r="D62" s="14"/>
      <c r="E62" s="15"/>
      <c r="G62" s="24" t="s">
        <v>1</v>
      </c>
      <c r="H62" s="46">
        <f>VAR(C56:C65)</f>
        <v>0.66666666666666674</v>
      </c>
      <c r="I62" s="47">
        <f>VAR(D56:D65)</f>
        <v>0</v>
      </c>
      <c r="J62" s="48">
        <f>VAR(E56:E65)</f>
        <v>0</v>
      </c>
    </row>
    <row r="63" spans="2:23" ht="13.5" thickTop="1" thickBot="1">
      <c r="C63" s="13"/>
      <c r="D63" s="14"/>
      <c r="E63" s="15"/>
      <c r="G63" s="56"/>
    </row>
    <row r="64" spans="2:23" ht="14" thickTop="1" thickBot="1">
      <c r="C64" s="13"/>
      <c r="D64" s="14"/>
      <c r="E64" s="15"/>
      <c r="G64" s="58" t="s">
        <v>20</v>
      </c>
      <c r="H64" s="59"/>
      <c r="I64" s="59"/>
      <c r="J64" s="59"/>
      <c r="K64" s="60"/>
    </row>
    <row r="65" spans="2:11" ht="14" thickTop="1" thickBot="1">
      <c r="C65" s="17"/>
      <c r="D65" s="18"/>
      <c r="E65" s="19"/>
      <c r="G65" s="11"/>
      <c r="H65" s="8" t="str">
        <f>C55</f>
        <v>Anonymous</v>
      </c>
      <c r="I65" s="9" t="str">
        <f>D55</f>
        <v>Pseudonymous</v>
      </c>
      <c r="J65" s="10" t="str">
        <f>E55</f>
        <v>Non-Anonymous</v>
      </c>
      <c r="K65" s="20"/>
    </row>
    <row r="66" spans="2:11" ht="14" thickTop="1" thickBot="1">
      <c r="B66" s="21"/>
      <c r="G66" s="22" t="s">
        <v>21</v>
      </c>
      <c r="H66" s="37">
        <f>[1]!RANK_SUM(C56:E65, 1,1)</f>
        <v>63</v>
      </c>
      <c r="I66" s="38">
        <f>[1]!RANK_SUM(C56:E65, 2,1)</f>
        <v>54</v>
      </c>
      <c r="J66" s="39">
        <f>[1]!RANK_SUM(C56:E65, 3,1)</f>
        <v>54</v>
      </c>
      <c r="K66" s="5" t="s">
        <v>26</v>
      </c>
    </row>
    <row r="67" spans="2:11" ht="13.5" thickTop="1">
      <c r="G67" s="23" t="s">
        <v>4</v>
      </c>
      <c r="H67" s="40">
        <f>COUNT(C56:C65)</f>
        <v>6</v>
      </c>
      <c r="I67" s="41">
        <f>COUNT(D56:D65)</f>
        <v>6</v>
      </c>
      <c r="J67" s="42">
        <f>COUNT(E56:E65)</f>
        <v>6</v>
      </c>
      <c r="K67" s="49">
        <f>SUM(H67:J67)</f>
        <v>18</v>
      </c>
    </row>
    <row r="68" spans="2:11" ht="15.5" thickBot="1">
      <c r="G68" s="24" t="s">
        <v>27</v>
      </c>
      <c r="H68" s="46">
        <f>H66^2/H67</f>
        <v>661.5</v>
      </c>
      <c r="I68" s="47">
        <f t="shared" ref="I68:J68" si="2">I66^2/I67</f>
        <v>486</v>
      </c>
      <c r="J68" s="48">
        <f t="shared" si="2"/>
        <v>486</v>
      </c>
      <c r="K68" s="50">
        <f>SUM(H68:J68)</f>
        <v>1633.5</v>
      </c>
    </row>
    <row r="69" spans="2:11" ht="14" thickTop="1" thickBot="1">
      <c r="B69" s="21"/>
    </row>
    <row r="70" spans="2:11" ht="13.5" thickTop="1">
      <c r="G70" s="30" t="s">
        <v>24</v>
      </c>
      <c r="H70" s="51">
        <f>12*K68/(K67*(K67+1))-3*(K67+1)</f>
        <v>0.3157894736842124</v>
      </c>
      <c r="J70" s="21"/>
    </row>
    <row r="71" spans="2:11" ht="13">
      <c r="G71" s="31" t="s">
        <v>22</v>
      </c>
      <c r="H71" s="52">
        <f>H70/(1-[1]!TiesCorrection(C56:E65)/(27*(27^2-1)))</f>
        <v>0.42053915275995113</v>
      </c>
    </row>
    <row r="72" spans="2:11" ht="13">
      <c r="G72" s="31" t="s">
        <v>3</v>
      </c>
      <c r="H72" s="53">
        <f>COUNTA(H65:J65)-1</f>
        <v>2</v>
      </c>
    </row>
    <row r="73" spans="2:11" ht="13">
      <c r="G73" s="31" t="s">
        <v>2</v>
      </c>
      <c r="H73" s="54">
        <f>_xlfn.CHISQ.DIST.RT(H71,H72)</f>
        <v>0.81036576105400271</v>
      </c>
    </row>
    <row r="74" spans="2:11" ht="13">
      <c r="G74" s="31" t="s">
        <v>25</v>
      </c>
      <c r="H74" s="52">
        <v>0.05</v>
      </c>
    </row>
    <row r="75" spans="2:11" ht="13.5" thickBot="1">
      <c r="G75" s="32" t="s">
        <v>23</v>
      </c>
      <c r="H75" s="55" t="str">
        <f>IF(H73&lt;H74,"Signficant","No significance")</f>
        <v>No significance</v>
      </c>
    </row>
    <row r="76" spans="2:11" ht="13" thickTop="1"/>
    <row r="77" spans="2:11" ht="13">
      <c r="B77" s="61" t="s">
        <v>33</v>
      </c>
      <c r="C77" s="62"/>
      <c r="D77" s="62"/>
      <c r="E77" s="62"/>
      <c r="F77" s="62"/>
      <c r="G77" s="62"/>
      <c r="H77" s="62"/>
      <c r="I77" s="62"/>
      <c r="J77" s="62"/>
      <c r="K77" s="62"/>
    </row>
    <row r="78" spans="2:11" ht="13" thickBot="1">
      <c r="B78" s="57" t="s">
        <v>28</v>
      </c>
      <c r="C78" s="57"/>
      <c r="D78" s="57"/>
      <c r="E78" s="57"/>
      <c r="F78" s="57"/>
      <c r="G78" s="57"/>
      <c r="H78" s="57"/>
      <c r="I78" s="57"/>
      <c r="J78" s="57"/>
      <c r="K78" s="57"/>
    </row>
    <row r="79" spans="2:11" ht="14" thickTop="1" thickBot="1">
      <c r="C79" s="58" t="s">
        <v>37</v>
      </c>
      <c r="D79" s="59"/>
      <c r="E79" s="60"/>
      <c r="G79" s="58" t="s">
        <v>19</v>
      </c>
      <c r="H79" s="59"/>
      <c r="I79" s="59"/>
      <c r="J79" s="60"/>
    </row>
    <row r="80" spans="2:11" ht="14" thickTop="1" thickBot="1">
      <c r="C80" s="8" t="s">
        <v>14</v>
      </c>
      <c r="D80" s="9" t="s">
        <v>15</v>
      </c>
      <c r="E80" s="10" t="s">
        <v>17</v>
      </c>
      <c r="G80" s="11"/>
      <c r="H80" s="27" t="str">
        <f>C80</f>
        <v>Anonymous</v>
      </c>
      <c r="I80" s="28" t="str">
        <f>D80</f>
        <v>Pseudonymous</v>
      </c>
      <c r="J80" s="29" t="str">
        <f>E80</f>
        <v>Non-Anonymous</v>
      </c>
    </row>
    <row r="81" spans="2:11" ht="13.5" thickTop="1">
      <c r="C81" s="33">
        <v>2</v>
      </c>
      <c r="D81" s="34">
        <v>3</v>
      </c>
      <c r="E81" s="35">
        <v>3</v>
      </c>
      <c r="F81" s="16"/>
      <c r="G81" s="22" t="s">
        <v>6</v>
      </c>
      <c r="H81" s="37">
        <f t="array" ref="H81">MIN(IF(ISBLANK(C81:C90),"",IF(C81:C90&gt;=H82-$C94*(H84-H82),C81:C90,"")))</f>
        <v>3</v>
      </c>
      <c r="I81" s="38">
        <f t="array" ref="I81">MIN(IF(ISBLANK(D81:D90),"",IF(D81:D90&gt;=I82-$C94*(I84-I82),D81:D90,"")))</f>
        <v>3</v>
      </c>
      <c r="J81" s="39">
        <f t="array" ref="J81">MIN(IF(ISBLANK(E81:E90),"",IF(E81:E90&gt;=J82-$C94*(J84-J82),E81:E90,"")))</f>
        <v>3</v>
      </c>
    </row>
    <row r="82" spans="2:11" ht="13">
      <c r="C82" s="33">
        <v>3</v>
      </c>
      <c r="D82" s="34">
        <v>2</v>
      </c>
      <c r="E82" s="35">
        <v>3</v>
      </c>
      <c r="G82" s="23" t="s">
        <v>7</v>
      </c>
      <c r="H82" s="40">
        <f>_xlfn.QUARTILE.INC(C81:C90,1)</f>
        <v>2.25</v>
      </c>
      <c r="I82" s="41">
        <f>_xlfn.QUARTILE.INC(D81:D90,1)</f>
        <v>3</v>
      </c>
      <c r="J82" s="42">
        <f>_xlfn.QUARTILE.INC(E81:E90,1)</f>
        <v>3</v>
      </c>
    </row>
    <row r="83" spans="2:11" ht="13">
      <c r="C83" s="33">
        <v>3</v>
      </c>
      <c r="D83" s="34">
        <v>3</v>
      </c>
      <c r="E83" s="35">
        <v>3</v>
      </c>
      <c r="G83" s="36" t="s">
        <v>8</v>
      </c>
      <c r="H83" s="43">
        <f>MEDIAN(C81:C90)</f>
        <v>3</v>
      </c>
      <c r="I83" s="44">
        <f>MEDIAN(D81:D90)</f>
        <v>3</v>
      </c>
      <c r="J83" s="45">
        <f>MEDIAN(E81:E90)</f>
        <v>3</v>
      </c>
    </row>
    <row r="84" spans="2:11" ht="13">
      <c r="C84" s="33">
        <v>3</v>
      </c>
      <c r="D84" s="34">
        <v>4</v>
      </c>
      <c r="E84" s="35">
        <v>3</v>
      </c>
      <c r="G84" s="23" t="s">
        <v>9</v>
      </c>
      <c r="H84" s="40">
        <f>_xlfn.QUARTILE.INC(C81:C90,3)</f>
        <v>3</v>
      </c>
      <c r="I84" s="41">
        <f>_xlfn.QUARTILE.INC(D81:D90,3)</f>
        <v>3.75</v>
      </c>
      <c r="J84" s="42">
        <f>_xlfn.QUARTILE.INC(E81:E90,3)</f>
        <v>3</v>
      </c>
    </row>
    <row r="85" spans="2:11" ht="13">
      <c r="C85" s="33">
        <v>3</v>
      </c>
      <c r="D85" s="34">
        <v>4</v>
      </c>
      <c r="E85" s="35">
        <v>3</v>
      </c>
      <c r="G85" s="23" t="s">
        <v>10</v>
      </c>
      <c r="H85" s="40">
        <f t="array" ref="H85">MAX(IF(ISBLANK(C81:C90),"",IF(C81:C90&lt;=H84+$C94*(H84-H82),C81:C90,"")))</f>
        <v>3</v>
      </c>
      <c r="I85" s="41">
        <f t="array" ref="I85">MAX(IF(ISBLANK(D81:D90),"",IF(D81:D90&lt;=I84+$C94*(I84-I82),D81:D90,"")))</f>
        <v>3</v>
      </c>
      <c r="J85" s="42">
        <f t="array" ref="J85">MAX(IF(ISBLANK(E81:E90),"",IF(E81:E90&lt;=J84+$C94*(J84-J82),E81:E90,"")))</f>
        <v>3</v>
      </c>
    </row>
    <row r="86" spans="2:11" ht="13">
      <c r="C86" s="33">
        <v>2</v>
      </c>
      <c r="D86" s="34">
        <v>3</v>
      </c>
      <c r="E86" s="35">
        <v>3</v>
      </c>
      <c r="G86" s="36" t="s">
        <v>0</v>
      </c>
      <c r="H86" s="43">
        <f>AVERAGE(C81:C90)</f>
        <v>2.6666666666666665</v>
      </c>
      <c r="I86" s="44">
        <f>AVERAGE(D81:D90)</f>
        <v>3.1666666666666665</v>
      </c>
      <c r="J86" s="45">
        <f>AVERAGE(E81:E90)</f>
        <v>3</v>
      </c>
    </row>
    <row r="87" spans="2:11" ht="13.5" thickBot="1">
      <c r="C87" s="13"/>
      <c r="D87" s="14"/>
      <c r="E87" s="15"/>
      <c r="G87" s="24" t="s">
        <v>1</v>
      </c>
      <c r="H87" s="46">
        <f>VAR(C81:C90)</f>
        <v>0.26666666666666716</v>
      </c>
      <c r="I87" s="47">
        <f>VAR(D81:D90)</f>
        <v>0.5666666666666671</v>
      </c>
      <c r="J87" s="48">
        <f>VAR(E81:E90)</f>
        <v>0</v>
      </c>
    </row>
    <row r="88" spans="2:11" ht="13.5" thickTop="1" thickBot="1">
      <c r="C88" s="13"/>
      <c r="D88" s="14"/>
      <c r="E88" s="15"/>
      <c r="G88" s="56"/>
    </row>
    <row r="89" spans="2:11" ht="14" thickTop="1" thickBot="1">
      <c r="C89" s="13"/>
      <c r="D89" s="14"/>
      <c r="E89" s="15"/>
      <c r="G89" s="58" t="s">
        <v>20</v>
      </c>
      <c r="H89" s="59"/>
      <c r="I89" s="59"/>
      <c r="J89" s="59"/>
      <c r="K89" s="60"/>
    </row>
    <row r="90" spans="2:11" ht="14" thickTop="1" thickBot="1">
      <c r="C90" s="17"/>
      <c r="D90" s="18"/>
      <c r="E90" s="19"/>
      <c r="G90" s="11"/>
      <c r="H90" s="8" t="str">
        <f>C80</f>
        <v>Anonymous</v>
      </c>
      <c r="I90" s="9" t="str">
        <f>D80</f>
        <v>Pseudonymous</v>
      </c>
      <c r="J90" s="10" t="str">
        <f>E80</f>
        <v>Non-Anonymous</v>
      </c>
      <c r="K90" s="20"/>
    </row>
    <row r="91" spans="2:11" ht="14" thickTop="1" thickBot="1">
      <c r="B91" s="21"/>
      <c r="G91" s="22" t="s">
        <v>21</v>
      </c>
      <c r="H91" s="37">
        <f>[1]!RANK_SUM(C81:E90, 1,1)</f>
        <v>44</v>
      </c>
      <c r="I91" s="38">
        <f>[1]!RANK_SUM(C81:E90, 2,1)</f>
        <v>67</v>
      </c>
      <c r="J91" s="39">
        <f>[1]!RANK_SUM(C81:E90, 3,1)</f>
        <v>60</v>
      </c>
      <c r="K91" s="5" t="s">
        <v>26</v>
      </c>
    </row>
    <row r="92" spans="2:11" ht="13.5" thickTop="1">
      <c r="G92" s="23" t="s">
        <v>4</v>
      </c>
      <c r="H92" s="40">
        <f>COUNT(C81:C90)</f>
        <v>6</v>
      </c>
      <c r="I92" s="41">
        <f>COUNT(D81:D90)</f>
        <v>6</v>
      </c>
      <c r="J92" s="42">
        <f>COUNT(E81:E90)</f>
        <v>6</v>
      </c>
      <c r="K92" s="49">
        <f>SUM(H92:J92)</f>
        <v>18</v>
      </c>
    </row>
    <row r="93" spans="2:11" ht="15.5" thickBot="1">
      <c r="G93" s="24" t="s">
        <v>27</v>
      </c>
      <c r="H93" s="46">
        <f>H91^2/H92</f>
        <v>322.66666666666669</v>
      </c>
      <c r="I93" s="47">
        <f t="shared" ref="I93:J93" si="3">I91^2/I92</f>
        <v>748.16666666666663</v>
      </c>
      <c r="J93" s="48">
        <f t="shared" si="3"/>
        <v>600</v>
      </c>
      <c r="K93" s="50">
        <f>SUM(H93:J93)</f>
        <v>1670.8333333333333</v>
      </c>
    </row>
    <row r="94" spans="2:11" ht="14" thickTop="1" thickBot="1">
      <c r="B94" s="21"/>
    </row>
    <row r="95" spans="2:11" ht="13.5" thickTop="1">
      <c r="G95" s="30" t="s">
        <v>24</v>
      </c>
      <c r="H95" s="51">
        <f>12*K93/(K92*(K92+1))-3*(K92+1)</f>
        <v>1.6257309941520433</v>
      </c>
      <c r="J95" s="21"/>
    </row>
    <row r="96" spans="2:11" ht="13">
      <c r="G96" s="31" t="s">
        <v>22</v>
      </c>
      <c r="H96" s="52">
        <f>H95/(1-[1]!TiesCorrection(C81:E90)/(27*(27^2-1)))</f>
        <v>1.8320931327286185</v>
      </c>
    </row>
    <row r="97" spans="2:11" ht="13">
      <c r="G97" s="31" t="s">
        <v>3</v>
      </c>
      <c r="H97" s="53">
        <f>COUNTA(H90:J90)-1</f>
        <v>2</v>
      </c>
    </row>
    <row r="98" spans="2:11" ht="13">
      <c r="G98" s="31" t="s">
        <v>2</v>
      </c>
      <c r="H98" s="54">
        <f>_xlfn.CHISQ.DIST.RT(H96,H97)</f>
        <v>0.40009767812826802</v>
      </c>
    </row>
    <row r="99" spans="2:11" ht="13">
      <c r="G99" s="31" t="s">
        <v>25</v>
      </c>
      <c r="H99" s="52">
        <v>0.05</v>
      </c>
    </row>
    <row r="100" spans="2:11" ht="13.5" thickBot="1">
      <c r="G100" s="32" t="s">
        <v>23</v>
      </c>
      <c r="H100" s="55" t="str">
        <f>IF(H98&lt;H99,"Signficant","No significance")</f>
        <v>No significance</v>
      </c>
    </row>
    <row r="101" spans="2:11" ht="13" thickTop="1"/>
    <row r="102" spans="2:11" ht="13">
      <c r="B102" s="61" t="s">
        <v>32</v>
      </c>
      <c r="C102" s="62"/>
      <c r="D102" s="62"/>
      <c r="E102" s="62"/>
      <c r="F102" s="62"/>
      <c r="G102" s="62"/>
      <c r="H102" s="62"/>
      <c r="I102" s="62"/>
      <c r="J102" s="62"/>
      <c r="K102" s="62"/>
    </row>
    <row r="103" spans="2:11" ht="13" thickBot="1">
      <c r="B103" s="57" t="s">
        <v>28</v>
      </c>
      <c r="C103" s="57"/>
      <c r="D103" s="57"/>
      <c r="E103" s="57"/>
      <c r="F103" s="57"/>
      <c r="G103" s="57"/>
      <c r="H103" s="57"/>
      <c r="I103" s="57"/>
      <c r="J103" s="57"/>
      <c r="K103" s="57"/>
    </row>
    <row r="104" spans="2:11" ht="14" thickTop="1" thickBot="1">
      <c r="C104" s="58" t="s">
        <v>38</v>
      </c>
      <c r="D104" s="59"/>
      <c r="E104" s="60"/>
      <c r="G104" s="58" t="s">
        <v>19</v>
      </c>
      <c r="H104" s="59"/>
      <c r="I104" s="59"/>
      <c r="J104" s="60"/>
    </row>
    <row r="105" spans="2:11" ht="14" thickTop="1" thickBot="1">
      <c r="C105" s="8" t="s">
        <v>14</v>
      </c>
      <c r="D105" s="9" t="s">
        <v>15</v>
      </c>
      <c r="E105" s="10" t="s">
        <v>17</v>
      </c>
      <c r="G105" s="11"/>
      <c r="H105" s="27" t="str">
        <f>C105</f>
        <v>Anonymous</v>
      </c>
      <c r="I105" s="28" t="str">
        <f>D105</f>
        <v>Pseudonymous</v>
      </c>
      <c r="J105" s="29" t="str">
        <f>E105</f>
        <v>Non-Anonymous</v>
      </c>
    </row>
    <row r="106" spans="2:11" ht="13.5" thickTop="1">
      <c r="C106" s="33">
        <v>3</v>
      </c>
      <c r="D106" s="34">
        <v>2</v>
      </c>
      <c r="E106" s="35">
        <v>3</v>
      </c>
      <c r="F106" s="16"/>
      <c r="G106" s="22" t="s">
        <v>6</v>
      </c>
      <c r="H106" s="37">
        <f t="array" ref="H106">MIN(IF(ISBLANK(C106:C115),"",IF(C106:C115&gt;=H107-$C119*(H109-H107),C106:C115,"")))</f>
        <v>1</v>
      </c>
      <c r="I106" s="38">
        <f t="array" ref="I106">MIN(IF(ISBLANK(D106:D115),"",IF(D106:D115&gt;=I107-$C119*(I109-I107),D106:D115,"")))</f>
        <v>2</v>
      </c>
      <c r="J106" s="39">
        <f t="array" ref="J106">MIN(IF(ISBLANK(E106:E115),"",IF(E106:E115&gt;=J107-$C119*(J109-J107),E106:E115,"")))</f>
        <v>3</v>
      </c>
    </row>
    <row r="107" spans="2:11" ht="13">
      <c r="C107" s="33">
        <v>1</v>
      </c>
      <c r="D107" s="34">
        <v>4</v>
      </c>
      <c r="E107" s="35">
        <v>1</v>
      </c>
      <c r="G107" s="23" t="s">
        <v>7</v>
      </c>
      <c r="H107" s="40">
        <f>_xlfn.QUARTILE.INC(C106:C115,1)</f>
        <v>1</v>
      </c>
      <c r="I107" s="41">
        <f>_xlfn.QUARTILE.INC(D106:D115,1)</f>
        <v>1.25</v>
      </c>
      <c r="J107" s="42">
        <f>_xlfn.QUARTILE.INC(E106:E115,1)</f>
        <v>1.5</v>
      </c>
    </row>
    <row r="108" spans="2:11" ht="13">
      <c r="C108" s="33">
        <v>1</v>
      </c>
      <c r="D108" s="34">
        <v>1</v>
      </c>
      <c r="E108" s="35">
        <v>3</v>
      </c>
      <c r="G108" s="36" t="s">
        <v>8</v>
      </c>
      <c r="H108" s="43">
        <f>MEDIAN(C106:C115)</f>
        <v>1.5</v>
      </c>
      <c r="I108" s="44">
        <f>MEDIAN(D106:D115)</f>
        <v>2.5</v>
      </c>
      <c r="J108" s="45">
        <f>MEDIAN(E106:E115)</f>
        <v>3</v>
      </c>
    </row>
    <row r="109" spans="2:11" ht="13">
      <c r="C109" s="33">
        <v>2</v>
      </c>
      <c r="D109" s="34">
        <v>1</v>
      </c>
      <c r="E109" s="35">
        <v>3</v>
      </c>
      <c r="G109" s="23" t="s">
        <v>9</v>
      </c>
      <c r="H109" s="40">
        <f>_xlfn.QUARTILE.INC(C106:C115,3)</f>
        <v>2.75</v>
      </c>
      <c r="I109" s="41">
        <f>_xlfn.QUARTILE.INC(D106:D115,3)</f>
        <v>3.75</v>
      </c>
      <c r="J109" s="42">
        <f>_xlfn.QUARTILE.INC(E106:E115,3)</f>
        <v>3</v>
      </c>
    </row>
    <row r="110" spans="2:11" ht="13">
      <c r="C110" s="33">
        <v>1</v>
      </c>
      <c r="D110" s="34">
        <v>3</v>
      </c>
      <c r="E110" s="35">
        <v>1</v>
      </c>
      <c r="G110" s="23" t="s">
        <v>10</v>
      </c>
      <c r="H110" s="40">
        <f t="array" ref="H110">MAX(IF(ISBLANK(C106:C115),"",IF(C106:C115&lt;=H109+$C119*(H109-H107),C106:C115,"")))</f>
        <v>2</v>
      </c>
      <c r="I110" s="41">
        <f t="array" ref="I110">MAX(IF(ISBLANK(D106:D115),"",IF(D106:D115&lt;=I109+$C119*(I109-I107),D106:D115,"")))</f>
        <v>3</v>
      </c>
      <c r="J110" s="42">
        <f t="array" ref="J110">MAX(IF(ISBLANK(E106:E115),"",IF(E106:E115&lt;=J109+$C119*(J109-J107),E106:E115,"")))</f>
        <v>3</v>
      </c>
    </row>
    <row r="111" spans="2:11" ht="13">
      <c r="C111" s="33">
        <v>3</v>
      </c>
      <c r="D111" s="34">
        <v>4</v>
      </c>
      <c r="E111" s="35">
        <v>3</v>
      </c>
      <c r="G111" s="36" t="s">
        <v>0</v>
      </c>
      <c r="H111" s="43">
        <f>AVERAGE(C106:C115)</f>
        <v>1.8333333333333333</v>
      </c>
      <c r="I111" s="44">
        <f>AVERAGE(D106:D115)</f>
        <v>2.5</v>
      </c>
      <c r="J111" s="45">
        <f>AVERAGE(E106:E115)</f>
        <v>2.3333333333333335</v>
      </c>
    </row>
    <row r="112" spans="2:11" ht="13.5" thickBot="1">
      <c r="C112" s="13"/>
      <c r="D112" s="14"/>
      <c r="E112" s="15"/>
      <c r="G112" s="24" t="s">
        <v>1</v>
      </c>
      <c r="H112" s="46">
        <f>VAR(C106:C115)</f>
        <v>0.96666666666666645</v>
      </c>
      <c r="I112" s="47">
        <f>VAR(D106:D115)</f>
        <v>1.9</v>
      </c>
      <c r="J112" s="48">
        <f>VAR(E106:E115)</f>
        <v>1.0666666666666671</v>
      </c>
    </row>
    <row r="113" spans="2:11" ht="13.5" thickTop="1" thickBot="1">
      <c r="C113" s="13"/>
      <c r="D113" s="14"/>
      <c r="E113" s="15"/>
      <c r="G113" s="56"/>
    </row>
    <row r="114" spans="2:11" ht="14" thickTop="1" thickBot="1">
      <c r="C114" s="13"/>
      <c r="D114" s="14"/>
      <c r="E114" s="15"/>
      <c r="G114" s="58" t="s">
        <v>20</v>
      </c>
      <c r="H114" s="59"/>
      <c r="I114" s="59"/>
      <c r="J114" s="59"/>
      <c r="K114" s="60"/>
    </row>
    <row r="115" spans="2:11" ht="14" thickTop="1" thickBot="1">
      <c r="C115" s="17"/>
      <c r="D115" s="18"/>
      <c r="E115" s="19"/>
      <c r="G115" s="11"/>
      <c r="H115" s="8" t="str">
        <f>C105</f>
        <v>Anonymous</v>
      </c>
      <c r="I115" s="9" t="str">
        <f>D105</f>
        <v>Pseudonymous</v>
      </c>
      <c r="J115" s="10" t="str">
        <f>E105</f>
        <v>Non-Anonymous</v>
      </c>
      <c r="K115" s="20"/>
    </row>
    <row r="116" spans="2:11" ht="14" thickTop="1" thickBot="1">
      <c r="B116" s="21"/>
      <c r="G116" s="22" t="s">
        <v>21</v>
      </c>
      <c r="H116" s="37">
        <f>[1]!RANK_SUM(C106:E115, 1,1)</f>
        <v>46.5</v>
      </c>
      <c r="I116" s="38">
        <f>[1]!RANK_SUM(C106:E115, 2,1)</f>
        <v>64.5</v>
      </c>
      <c r="J116" s="39">
        <f>[1]!RANK_SUM(C106:E115, 3,1)</f>
        <v>60</v>
      </c>
      <c r="K116" s="5" t="s">
        <v>26</v>
      </c>
    </row>
    <row r="117" spans="2:11" ht="13.5" thickTop="1">
      <c r="G117" s="23" t="s">
        <v>4</v>
      </c>
      <c r="H117" s="40">
        <f>COUNT(C106:C115)</f>
        <v>6</v>
      </c>
      <c r="I117" s="41">
        <f>COUNT(D106:D115)</f>
        <v>6</v>
      </c>
      <c r="J117" s="42">
        <f>COUNT(E106:E115)</f>
        <v>6</v>
      </c>
      <c r="K117" s="49">
        <f>SUM(H117:J117)</f>
        <v>18</v>
      </c>
    </row>
    <row r="118" spans="2:11" ht="15.5" thickBot="1">
      <c r="G118" s="24" t="s">
        <v>27</v>
      </c>
      <c r="H118" s="46">
        <f>H116^2/H117</f>
        <v>360.375</v>
      </c>
      <c r="I118" s="47">
        <f t="shared" ref="I118:J118" si="4">I116^2/I117</f>
        <v>693.375</v>
      </c>
      <c r="J118" s="48">
        <f t="shared" si="4"/>
        <v>600</v>
      </c>
      <c r="K118" s="50">
        <f>SUM(H118:J118)</f>
        <v>1653.75</v>
      </c>
    </row>
    <row r="119" spans="2:11" ht="14" thickTop="1" thickBot="1">
      <c r="B119" s="21"/>
    </row>
    <row r="120" spans="2:11" ht="13.5" thickTop="1">
      <c r="G120" s="30" t="s">
        <v>24</v>
      </c>
      <c r="H120" s="51">
        <f>12*K118/(K117*(K117+1))-3*(K117+1)</f>
        <v>1.026315789473685</v>
      </c>
      <c r="J120" s="21"/>
    </row>
    <row r="121" spans="2:11" ht="13">
      <c r="G121" s="31" t="s">
        <v>22</v>
      </c>
      <c r="H121" s="52">
        <f>H120/(1-[1]!TiesCorrection(C106:E115)/(27*(27^2-1)))</f>
        <v>1.0633176870068919</v>
      </c>
    </row>
    <row r="122" spans="2:11" ht="13">
      <c r="G122" s="31" t="s">
        <v>3</v>
      </c>
      <c r="H122" s="53">
        <f>COUNTA(H115:J115)-1</f>
        <v>2</v>
      </c>
    </row>
    <row r="123" spans="2:11" ht="13">
      <c r="G123" s="31" t="s">
        <v>2</v>
      </c>
      <c r="H123" s="54">
        <f>_xlfn.CHISQ.DIST.RT(H121,H122)</f>
        <v>0.58762937555101524</v>
      </c>
    </row>
    <row r="124" spans="2:11" ht="13">
      <c r="G124" s="31" t="s">
        <v>25</v>
      </c>
      <c r="H124" s="52">
        <v>0.05</v>
      </c>
    </row>
    <row r="125" spans="2:11" ht="13.5" thickBot="1">
      <c r="G125" s="32" t="s">
        <v>23</v>
      </c>
      <c r="H125" s="55" t="str">
        <f>IF(H123&lt;H124,"Signficant","No significance")</f>
        <v>No significance</v>
      </c>
    </row>
    <row r="126" spans="2:11" ht="13" thickTop="1"/>
  </sheetData>
  <mergeCells count="26">
    <mergeCell ref="G14:K14"/>
    <mergeCell ref="C4:E4"/>
    <mergeCell ref="G4:J4"/>
    <mergeCell ref="B1:K1"/>
    <mergeCell ref="B3:K3"/>
    <mergeCell ref="B2:K2"/>
    <mergeCell ref="C29:E29"/>
    <mergeCell ref="G29:J29"/>
    <mergeCell ref="G39:K39"/>
    <mergeCell ref="B52:K52"/>
    <mergeCell ref="B27:K27"/>
    <mergeCell ref="B28:K28"/>
    <mergeCell ref="B53:K53"/>
    <mergeCell ref="C54:E54"/>
    <mergeCell ref="G54:J54"/>
    <mergeCell ref="G64:K64"/>
    <mergeCell ref="B77:K77"/>
    <mergeCell ref="B103:K103"/>
    <mergeCell ref="C104:E104"/>
    <mergeCell ref="G104:J104"/>
    <mergeCell ref="G114:K114"/>
    <mergeCell ref="B78:K78"/>
    <mergeCell ref="C79:E79"/>
    <mergeCell ref="G79:J79"/>
    <mergeCell ref="G89:K89"/>
    <mergeCell ref="B102:K10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F492-6B7F-4066-9758-2B350446A35F}">
  <dimension ref="A1:Y126"/>
  <sheetViews>
    <sheetView showGridLines="0" topLeftCell="A98" zoomScale="102" zoomScaleNormal="80" workbookViewId="0">
      <selection activeCell="N16" sqref="N16"/>
    </sheetView>
  </sheetViews>
  <sheetFormatPr defaultRowHeight="12.5"/>
  <cols>
    <col min="1" max="1" width="6.1796875" style="7" customWidth="1"/>
    <col min="2" max="2" width="6.453125" style="7" customWidth="1"/>
    <col min="3" max="3" width="15.7265625" style="7" customWidth="1"/>
    <col min="4" max="4" width="15.36328125" style="7" customWidth="1"/>
    <col min="5" max="5" width="16" style="7" customWidth="1"/>
    <col min="6" max="6" width="8.7265625" style="7"/>
    <col min="7" max="7" width="16.26953125" style="7" customWidth="1"/>
    <col min="8" max="9" width="15.36328125" style="7" customWidth="1"/>
    <col min="10" max="10" width="15.81640625" style="7" customWidth="1"/>
    <col min="11" max="11" width="12.1796875" style="7" customWidth="1"/>
    <col min="12" max="12" width="14.08984375" style="7" customWidth="1"/>
    <col min="13" max="15" width="18.6328125" style="7" customWidth="1"/>
    <col min="16" max="16" width="8.7265625" style="7"/>
    <col min="17" max="17" width="15.90625" style="7" customWidth="1"/>
    <col min="18" max="18" width="8.7265625" style="7"/>
    <col min="19" max="21" width="15" style="7" customWidth="1"/>
    <col min="22" max="16384" width="8.7265625" style="7"/>
  </cols>
  <sheetData>
    <row r="1" spans="1:25" ht="33.5" customHeight="1">
      <c r="A1" s="6"/>
      <c r="B1" s="63" t="s">
        <v>39</v>
      </c>
      <c r="C1" s="63"/>
      <c r="D1" s="63"/>
      <c r="E1" s="63"/>
      <c r="F1" s="63"/>
      <c r="G1" s="63"/>
      <c r="H1" s="63"/>
      <c r="I1" s="63"/>
      <c r="J1" s="63"/>
      <c r="K1" s="63"/>
    </row>
    <row r="2" spans="1:25" ht="27" customHeight="1">
      <c r="A2" s="6"/>
      <c r="B2" s="61" t="s">
        <v>29</v>
      </c>
      <c r="C2" s="62"/>
      <c r="D2" s="62"/>
      <c r="E2" s="62"/>
      <c r="F2" s="62"/>
      <c r="G2" s="62"/>
      <c r="H2" s="62"/>
      <c r="I2" s="62"/>
      <c r="J2" s="62"/>
      <c r="K2" s="62"/>
    </row>
    <row r="3" spans="1:25" ht="18.5" customHeight="1" thickBot="1">
      <c r="A3" s="6"/>
      <c r="B3" s="57" t="s">
        <v>28</v>
      </c>
      <c r="C3" s="57"/>
      <c r="D3" s="57"/>
      <c r="E3" s="57"/>
      <c r="F3" s="57"/>
      <c r="G3" s="57"/>
      <c r="H3" s="57"/>
      <c r="I3" s="57"/>
      <c r="J3" s="57"/>
      <c r="K3" s="57"/>
    </row>
    <row r="4" spans="1:25" ht="14" thickTop="1" thickBot="1">
      <c r="C4" s="58" t="s">
        <v>18</v>
      </c>
      <c r="D4" s="59"/>
      <c r="E4" s="60"/>
      <c r="G4" s="58" t="s">
        <v>19</v>
      </c>
      <c r="H4" s="59"/>
      <c r="I4" s="59"/>
      <c r="J4" s="60"/>
    </row>
    <row r="5" spans="1:25" ht="14" thickTop="1" thickBot="1">
      <c r="C5" s="8" t="s">
        <v>14</v>
      </c>
      <c r="D5" s="9" t="s">
        <v>15</v>
      </c>
      <c r="E5" s="10" t="s">
        <v>17</v>
      </c>
      <c r="G5" s="11"/>
      <c r="H5" s="27" t="str">
        <f>C5</f>
        <v>Anonymous</v>
      </c>
      <c r="I5" s="28" t="str">
        <f>D5</f>
        <v>Pseudonymous</v>
      </c>
      <c r="J5" s="29" t="str">
        <f>E5</f>
        <v>Non-Anonymous</v>
      </c>
      <c r="S5" s="12"/>
      <c r="T5" s="12"/>
      <c r="U5" s="12"/>
    </row>
    <row r="6" spans="1:25" ht="13.5" thickTop="1">
      <c r="C6" s="33">
        <v>2</v>
      </c>
      <c r="D6" s="34">
        <v>4</v>
      </c>
      <c r="E6" s="35">
        <v>1</v>
      </c>
      <c r="F6" s="16"/>
      <c r="G6" s="22" t="s">
        <v>6</v>
      </c>
      <c r="H6" s="37">
        <f t="array" ref="H6">MIN(IF(ISBLANK(C6:C15),"",IF(C6:C15&gt;=H7-$C19*(H9-H7),C6:C15,"")))</f>
        <v>2</v>
      </c>
      <c r="I6" s="38">
        <f t="array" ref="I6">MIN(IF(ISBLANK(D6:D15),"",IF(D6:D15&gt;=I7-$C19*(I9-I7),D6:D15,"")))</f>
        <v>2</v>
      </c>
      <c r="J6" s="39">
        <f t="array" ref="J6">MIN(IF(ISBLANK(E6:E15),"",IF(E6:E15&gt;=J7-$C19*(J9-J7),E6:E15,"")))</f>
        <v>2</v>
      </c>
    </row>
    <row r="7" spans="1:25" ht="13">
      <c r="C7" s="33">
        <v>4</v>
      </c>
      <c r="D7" s="34">
        <v>2</v>
      </c>
      <c r="E7" s="35">
        <v>2</v>
      </c>
      <c r="G7" s="23" t="s">
        <v>7</v>
      </c>
      <c r="H7" s="40">
        <f>_xlfn.QUARTILE.INC(C6:C15,1)</f>
        <v>2</v>
      </c>
      <c r="I7" s="41">
        <f>_xlfn.QUARTILE.INC(D6:D15,1)</f>
        <v>2</v>
      </c>
      <c r="J7" s="42">
        <f>_xlfn.QUARTILE.INC(E6:E15,1)</f>
        <v>2</v>
      </c>
      <c r="W7" s="16"/>
      <c r="X7" s="16"/>
      <c r="Y7" s="16"/>
    </row>
    <row r="8" spans="1:25" ht="13">
      <c r="C8" s="33">
        <v>2</v>
      </c>
      <c r="D8" s="34">
        <v>3</v>
      </c>
      <c r="E8" s="35">
        <v>3</v>
      </c>
      <c r="G8" s="36" t="s">
        <v>8</v>
      </c>
      <c r="H8" s="43">
        <f>MEDIAN(C6:C15)</f>
        <v>2.5</v>
      </c>
      <c r="I8" s="44">
        <f>MEDIAN(D6:D15)</f>
        <v>2.5</v>
      </c>
      <c r="J8" s="45">
        <f>MEDIAN(E6:E15)</f>
        <v>2.5</v>
      </c>
    </row>
    <row r="9" spans="1:25" ht="13">
      <c r="C9" s="33">
        <v>3</v>
      </c>
      <c r="D9" s="34">
        <v>2</v>
      </c>
      <c r="E9" s="35">
        <v>3</v>
      </c>
      <c r="G9" s="23" t="s">
        <v>9</v>
      </c>
      <c r="H9" s="40">
        <f>_xlfn.QUARTILE.INC(C6:C15,3)</f>
        <v>3.75</v>
      </c>
      <c r="I9" s="41">
        <f>_xlfn.QUARTILE.INC(D6:D15,3)</f>
        <v>3</v>
      </c>
      <c r="J9" s="42">
        <f>_xlfn.QUARTILE.INC(E6:E15,3)</f>
        <v>3</v>
      </c>
    </row>
    <row r="10" spans="1:25" ht="13">
      <c r="C10" s="33">
        <v>2</v>
      </c>
      <c r="D10" s="34">
        <v>3</v>
      </c>
      <c r="E10" s="35">
        <v>2</v>
      </c>
      <c r="G10" s="23" t="s">
        <v>10</v>
      </c>
      <c r="H10" s="40">
        <f t="array" ref="H10">MAX(IF(ISBLANK(C6:C15),"",IF(C6:C15&lt;=H9+$C19*(H9-H7),C6:C15,"")))</f>
        <v>3</v>
      </c>
      <c r="I10" s="41">
        <f t="array" ref="I10">MAX(IF(ISBLANK(D6:D15),"",IF(D6:D15&lt;=I9+$C19*(I9-I7),D6:D15,"")))</f>
        <v>3</v>
      </c>
      <c r="J10" s="42">
        <f t="array" ref="J10">MAX(IF(ISBLANK(E6:E15),"",IF(E6:E15&lt;=J9+$C19*(J9-J7),E6:E15,"")))</f>
        <v>3</v>
      </c>
    </row>
    <row r="11" spans="1:25" ht="13">
      <c r="C11" s="33">
        <v>4</v>
      </c>
      <c r="D11" s="34">
        <v>2</v>
      </c>
      <c r="E11" s="35">
        <v>4</v>
      </c>
      <c r="G11" s="36" t="s">
        <v>0</v>
      </c>
      <c r="H11" s="43">
        <f>AVERAGE(C6:C15)</f>
        <v>2.8333333333333335</v>
      </c>
      <c r="I11" s="44">
        <f>AVERAGE(D6:D15)</f>
        <v>2.6666666666666665</v>
      </c>
      <c r="J11" s="45">
        <f>AVERAGE(E6:E15)</f>
        <v>2.5</v>
      </c>
    </row>
    <row r="12" spans="1:25" ht="13.5" thickBot="1">
      <c r="C12" s="13"/>
      <c r="D12" s="14"/>
      <c r="E12" s="15"/>
      <c r="G12" s="24" t="s">
        <v>1</v>
      </c>
      <c r="H12" s="46">
        <f>VAR(C6:C15)</f>
        <v>0.96666666666666712</v>
      </c>
      <c r="I12" s="47">
        <f>VAR(D6:D15)</f>
        <v>0.66666666666666718</v>
      </c>
      <c r="J12" s="48">
        <f>VAR(E6:E15)</f>
        <v>1.1000000000000001</v>
      </c>
    </row>
    <row r="13" spans="1:25" ht="14" thickTop="1" thickBot="1">
      <c r="C13" s="13"/>
      <c r="D13" s="14"/>
      <c r="E13" s="15"/>
      <c r="G13" s="56"/>
      <c r="W13" s="16"/>
      <c r="X13" s="16"/>
      <c r="Y13" s="16"/>
    </row>
    <row r="14" spans="1:25" ht="14" thickTop="1" thickBot="1">
      <c r="C14" s="13"/>
      <c r="D14" s="14"/>
      <c r="E14" s="15"/>
      <c r="G14" s="58" t="s">
        <v>20</v>
      </c>
      <c r="H14" s="59"/>
      <c r="I14" s="59"/>
      <c r="J14" s="59"/>
      <c r="K14" s="60"/>
    </row>
    <row r="15" spans="1:25" ht="14" thickTop="1" thickBot="1">
      <c r="C15" s="17"/>
      <c r="D15" s="18"/>
      <c r="E15" s="19"/>
      <c r="G15" s="11"/>
      <c r="H15" s="8" t="str">
        <f>C5</f>
        <v>Anonymous</v>
      </c>
      <c r="I15" s="9" t="str">
        <f>D5</f>
        <v>Pseudonymous</v>
      </c>
      <c r="J15" s="10" t="str">
        <f>E5</f>
        <v>Non-Anonymous</v>
      </c>
      <c r="K15" s="20"/>
    </row>
    <row r="16" spans="1:25" ht="14" thickTop="1" thickBot="1">
      <c r="B16" s="21"/>
      <c r="G16" s="22" t="s">
        <v>21</v>
      </c>
      <c r="H16" s="37">
        <f>[1]!RANK_SUM(C6:E15, 1,1)</f>
        <v>61.5</v>
      </c>
      <c r="I16" s="38">
        <f>[1]!RANK_SUM(C6:E15, 2,1)</f>
        <v>57</v>
      </c>
      <c r="J16" s="39">
        <f>[1]!RANK_SUM(C6:E15, 3,1)</f>
        <v>52.5</v>
      </c>
      <c r="K16" s="5" t="s">
        <v>26</v>
      </c>
      <c r="R16" s="21"/>
    </row>
    <row r="17" spans="2:23" ht="13.5" thickTop="1">
      <c r="G17" s="23" t="s">
        <v>4</v>
      </c>
      <c r="H17" s="40">
        <f>COUNT(C6:C15)</f>
        <v>6</v>
      </c>
      <c r="I17" s="41">
        <f>COUNT(D6:D15)</f>
        <v>6</v>
      </c>
      <c r="J17" s="42">
        <f>COUNT(E6:E15)</f>
        <v>6</v>
      </c>
      <c r="K17" s="49">
        <f>SUM(H17:J17)</f>
        <v>18</v>
      </c>
    </row>
    <row r="18" spans="2:23" ht="15.5" thickBot="1">
      <c r="G18" s="24" t="s">
        <v>27</v>
      </c>
      <c r="H18" s="46">
        <f>H16^2/H17</f>
        <v>630.375</v>
      </c>
      <c r="I18" s="47">
        <f t="shared" ref="I18:J18" si="0">I16^2/I17</f>
        <v>541.5</v>
      </c>
      <c r="J18" s="48">
        <f t="shared" si="0"/>
        <v>459.375</v>
      </c>
      <c r="K18" s="50">
        <f>SUM(H18:J18)</f>
        <v>1631.25</v>
      </c>
      <c r="R18" s="21"/>
    </row>
    <row r="19" spans="2:23" ht="14" thickTop="1" thickBot="1">
      <c r="B19" s="21"/>
      <c r="R19" s="21"/>
    </row>
    <row r="20" spans="2:23" ht="13.5" thickTop="1">
      <c r="G20" s="30" t="s">
        <v>24</v>
      </c>
      <c r="H20" s="51">
        <f>12*K18/(K17*(K17+1))-3*(K17+1)</f>
        <v>0.23684210526315752</v>
      </c>
      <c r="J20" s="21"/>
      <c r="R20" s="21"/>
    </row>
    <row r="21" spans="2:23" ht="13">
      <c r="G21" s="31" t="s">
        <v>22</v>
      </c>
      <c r="H21" s="52">
        <f>H20/(1-[1]!TiesCorrection(C6:E15)/(27*(27^2-1)))</f>
        <v>0.24538100469389754</v>
      </c>
      <c r="R21" s="21"/>
    </row>
    <row r="22" spans="2:23" ht="13">
      <c r="G22" s="31" t="s">
        <v>3</v>
      </c>
      <c r="H22" s="53">
        <f>COUNTA(H15:J15)-1</f>
        <v>2</v>
      </c>
      <c r="R22" s="21"/>
    </row>
    <row r="23" spans="2:23" ht="13">
      <c r="G23" s="31" t="s">
        <v>2</v>
      </c>
      <c r="H23" s="54">
        <f>_xlfn.CHISQ.DIST.RT(H21,H22)</f>
        <v>0.88453738244470781</v>
      </c>
      <c r="R23" s="21"/>
      <c r="V23" s="25"/>
    </row>
    <row r="24" spans="2:23" ht="13">
      <c r="G24" s="31" t="s">
        <v>25</v>
      </c>
      <c r="H24" s="52">
        <v>0.05</v>
      </c>
    </row>
    <row r="25" spans="2:23" ht="13.5" thickBot="1">
      <c r="G25" s="32" t="s">
        <v>23</v>
      </c>
      <c r="H25" s="55" t="str">
        <f>IF(H23&lt;H24,"Signficant","No significance")</f>
        <v>No significance</v>
      </c>
    </row>
    <row r="26" spans="2:23" ht="13" thickTop="1"/>
    <row r="27" spans="2:23" ht="13">
      <c r="B27" s="61" t="s">
        <v>31</v>
      </c>
      <c r="C27" s="62"/>
      <c r="D27" s="62"/>
      <c r="E27" s="62"/>
      <c r="F27" s="62"/>
      <c r="G27" s="62"/>
      <c r="H27" s="62"/>
      <c r="I27" s="62"/>
      <c r="J27" s="62"/>
      <c r="K27" s="62"/>
    </row>
    <row r="28" spans="2:23" ht="13.5" thickBot="1">
      <c r="B28" s="57" t="s">
        <v>28</v>
      </c>
      <c r="C28" s="57"/>
      <c r="D28" s="57"/>
      <c r="E28" s="57"/>
      <c r="F28" s="57"/>
      <c r="G28" s="57"/>
      <c r="H28" s="57"/>
      <c r="I28" s="57"/>
      <c r="J28" s="57"/>
      <c r="K28" s="57"/>
      <c r="Q28" s="16"/>
      <c r="R28" s="16"/>
      <c r="S28" s="16"/>
      <c r="T28" s="16"/>
      <c r="U28" s="16"/>
      <c r="V28" s="16"/>
      <c r="W28" s="16"/>
    </row>
    <row r="29" spans="2:23" ht="14" thickTop="1" thickBot="1">
      <c r="C29" s="58" t="s">
        <v>35</v>
      </c>
      <c r="D29" s="59"/>
      <c r="E29" s="60"/>
      <c r="G29" s="58" t="s">
        <v>19</v>
      </c>
      <c r="H29" s="59"/>
      <c r="I29" s="59"/>
      <c r="J29" s="60"/>
    </row>
    <row r="30" spans="2:23" ht="14" thickTop="1" thickBot="1">
      <c r="C30" s="8" t="s">
        <v>14</v>
      </c>
      <c r="D30" s="9" t="s">
        <v>15</v>
      </c>
      <c r="E30" s="10" t="s">
        <v>17</v>
      </c>
      <c r="G30" s="11"/>
      <c r="H30" s="27" t="str">
        <f>C30</f>
        <v>Anonymous</v>
      </c>
      <c r="I30" s="28" t="str">
        <f>D30</f>
        <v>Pseudonymous</v>
      </c>
      <c r="J30" s="29" t="str">
        <f>E30</f>
        <v>Non-Anonymous</v>
      </c>
    </row>
    <row r="31" spans="2:23" ht="13.5" thickTop="1">
      <c r="C31" s="33">
        <v>1</v>
      </c>
      <c r="D31" s="34">
        <v>3</v>
      </c>
      <c r="E31" s="35">
        <v>1</v>
      </c>
      <c r="F31" s="16"/>
      <c r="G31" s="22" t="s">
        <v>6</v>
      </c>
      <c r="H31" s="37">
        <f t="array" ref="H31">MIN(IF(ISBLANK(C31:C40),"",IF(C31:C40&gt;=H32-$C44*(H34-H32),C31:C40,"")))</f>
        <v>2</v>
      </c>
      <c r="I31" s="38">
        <f t="array" ref="I31">MIN(IF(ISBLANK(D31:D40),"",IF(D31:D40&gt;=I32-$C44*(I34-I32),D31:D40,"")))</f>
        <v>2</v>
      </c>
      <c r="J31" s="39">
        <f t="array" ref="J31">MIN(IF(ISBLANK(E31:E40),"",IF(E31:E40&gt;=J32-$C44*(J34-J32),E31:E40,"")))</f>
        <v>2</v>
      </c>
    </row>
    <row r="32" spans="2:23" ht="13">
      <c r="C32" s="33">
        <v>2</v>
      </c>
      <c r="D32" s="34">
        <v>2</v>
      </c>
      <c r="E32" s="35">
        <v>1</v>
      </c>
      <c r="G32" s="23" t="s">
        <v>7</v>
      </c>
      <c r="H32" s="40">
        <f>_xlfn.QUARTILE.INC(C31:C40,1)</f>
        <v>1.25</v>
      </c>
      <c r="I32" s="41">
        <f>_xlfn.QUARTILE.INC(D31:D40,1)</f>
        <v>2</v>
      </c>
      <c r="J32" s="42">
        <f>_xlfn.QUARTILE.INC(E31:E40,1)</f>
        <v>1.25</v>
      </c>
    </row>
    <row r="33" spans="2:25" ht="13">
      <c r="C33" s="33">
        <v>1</v>
      </c>
      <c r="D33" s="34">
        <v>2</v>
      </c>
      <c r="E33" s="35">
        <v>3</v>
      </c>
      <c r="G33" s="36" t="s">
        <v>8</v>
      </c>
      <c r="H33" s="43">
        <f>MEDIAN(C31:C40)</f>
        <v>2</v>
      </c>
      <c r="I33" s="44">
        <f>MEDIAN(D31:D40)</f>
        <v>2</v>
      </c>
      <c r="J33" s="45">
        <f>MEDIAN(E31:E40)</f>
        <v>2</v>
      </c>
    </row>
    <row r="34" spans="2:25" ht="13">
      <c r="C34" s="33">
        <v>2</v>
      </c>
      <c r="D34" s="34">
        <v>2</v>
      </c>
      <c r="E34" s="35">
        <v>2</v>
      </c>
      <c r="G34" s="23" t="s">
        <v>9</v>
      </c>
      <c r="H34" s="40">
        <f>_xlfn.QUARTILE.INC(C31:C40,3)</f>
        <v>2</v>
      </c>
      <c r="I34" s="41">
        <f>_xlfn.QUARTILE.INC(D31:D40,3)</f>
        <v>2.75</v>
      </c>
      <c r="J34" s="42">
        <f>_xlfn.QUARTILE.INC(E31:E40,3)</f>
        <v>2.75</v>
      </c>
    </row>
    <row r="35" spans="2:25" ht="13">
      <c r="C35" s="33">
        <v>2</v>
      </c>
      <c r="D35" s="34">
        <v>2</v>
      </c>
      <c r="E35" s="35">
        <v>2</v>
      </c>
      <c r="G35" s="23" t="s">
        <v>10</v>
      </c>
      <c r="H35" s="40">
        <f t="array" ref="H35">MAX(IF(ISBLANK(C31:C40),"",IF(C31:C40&lt;=H34+$C44*(H34-H32),C31:C40,"")))</f>
        <v>2</v>
      </c>
      <c r="I35" s="41">
        <f t="array" ref="I35">MAX(IF(ISBLANK(D31:D40),"",IF(D31:D40&lt;=I34+$C44*(I34-I32),D31:D40,"")))</f>
        <v>2</v>
      </c>
      <c r="J35" s="42">
        <f t="array" ref="J35">MAX(IF(ISBLANK(E31:E40),"",IF(E31:E40&lt;=J34+$C44*(J34-J32),E31:E40,"")))</f>
        <v>2</v>
      </c>
    </row>
    <row r="36" spans="2:25" ht="13">
      <c r="C36" s="33">
        <v>2</v>
      </c>
      <c r="D36" s="34">
        <v>3</v>
      </c>
      <c r="E36" s="35">
        <v>4</v>
      </c>
      <c r="G36" s="36" t="s">
        <v>0</v>
      </c>
      <c r="H36" s="43">
        <f>AVERAGE(C31:C40)</f>
        <v>1.6666666666666667</v>
      </c>
      <c r="I36" s="44">
        <f>AVERAGE(D31:D40)</f>
        <v>2.3333333333333335</v>
      </c>
      <c r="J36" s="45">
        <f>AVERAGE(E31:E40)</f>
        <v>2.1666666666666665</v>
      </c>
    </row>
    <row r="37" spans="2:25" ht="13.5" thickBot="1">
      <c r="C37" s="13"/>
      <c r="D37" s="14"/>
      <c r="E37" s="15"/>
      <c r="G37" s="24" t="s">
        <v>1</v>
      </c>
      <c r="H37" s="46">
        <f>VAR(C31:C40)</f>
        <v>0.26666666666666644</v>
      </c>
      <c r="I37" s="47">
        <f>VAR(D31:D40)</f>
        <v>0.26666666666666716</v>
      </c>
      <c r="J37" s="48">
        <f>VAR(E31:E40)</f>
        <v>1.3666666666666665</v>
      </c>
      <c r="Q37" s="16"/>
      <c r="R37" s="16"/>
      <c r="S37" s="16"/>
      <c r="T37" s="16"/>
      <c r="U37" s="16"/>
      <c r="V37" s="16"/>
      <c r="W37" s="16"/>
      <c r="X37" s="16"/>
      <c r="Y37" s="16"/>
    </row>
    <row r="38" spans="2:25" ht="13.5" thickTop="1" thickBot="1">
      <c r="C38" s="13"/>
      <c r="D38" s="14"/>
      <c r="E38" s="15"/>
      <c r="G38" s="56"/>
    </row>
    <row r="39" spans="2:25" ht="14" thickTop="1" thickBot="1">
      <c r="C39" s="13"/>
      <c r="D39" s="14"/>
      <c r="E39" s="15"/>
      <c r="G39" s="58" t="s">
        <v>20</v>
      </c>
      <c r="H39" s="59"/>
      <c r="I39" s="59"/>
      <c r="J39" s="59"/>
      <c r="K39" s="60"/>
    </row>
    <row r="40" spans="2:25" ht="14" thickTop="1" thickBot="1">
      <c r="C40" s="17"/>
      <c r="D40" s="18"/>
      <c r="E40" s="19"/>
      <c r="G40" s="11"/>
      <c r="H40" s="8" t="str">
        <f>C30</f>
        <v>Anonymous</v>
      </c>
      <c r="I40" s="9" t="str">
        <f>D30</f>
        <v>Pseudonymous</v>
      </c>
      <c r="J40" s="10" t="str">
        <f>E30</f>
        <v>Non-Anonymous</v>
      </c>
      <c r="K40" s="20"/>
    </row>
    <row r="41" spans="2:25" ht="14" thickTop="1" thickBot="1">
      <c r="B41" s="21"/>
      <c r="G41" s="22" t="s">
        <v>21</v>
      </c>
      <c r="H41" s="37">
        <f>[1]!RANK_SUM(C31:E40, 1,1)</f>
        <v>43</v>
      </c>
      <c r="I41" s="38">
        <f>[1]!RANK_SUM(C31:E40, 2,1)</f>
        <v>70</v>
      </c>
      <c r="J41" s="39">
        <f>[1]!RANK_SUM(C31:E40, 3,1)</f>
        <v>58</v>
      </c>
      <c r="K41" s="5" t="s">
        <v>26</v>
      </c>
    </row>
    <row r="42" spans="2:25" ht="13.5" thickTop="1">
      <c r="G42" s="23" t="s">
        <v>4</v>
      </c>
      <c r="H42" s="40">
        <f>COUNT(C31:C40)</f>
        <v>6</v>
      </c>
      <c r="I42" s="41">
        <f>COUNT(D31:D40)</f>
        <v>6</v>
      </c>
      <c r="J42" s="42">
        <f>COUNT(E31:E40)</f>
        <v>6</v>
      </c>
      <c r="K42" s="49">
        <f>SUM(H42:J42)</f>
        <v>18</v>
      </c>
    </row>
    <row r="43" spans="2:25" ht="15.5" thickBot="1">
      <c r="G43" s="24" t="s">
        <v>27</v>
      </c>
      <c r="H43" s="46">
        <f>H41^2/H42</f>
        <v>308.16666666666669</v>
      </c>
      <c r="I43" s="47">
        <f t="shared" ref="I43:J43" si="1">I41^2/I42</f>
        <v>816.66666666666663</v>
      </c>
      <c r="J43" s="48">
        <f t="shared" si="1"/>
        <v>560.66666666666663</v>
      </c>
      <c r="K43" s="50">
        <f>SUM(H43:J43)</f>
        <v>1685.5</v>
      </c>
      <c r="Q43" s="16"/>
      <c r="R43" s="16"/>
      <c r="S43" s="16"/>
      <c r="T43" s="16"/>
      <c r="U43" s="16"/>
      <c r="V43" s="16"/>
      <c r="W43" s="16"/>
      <c r="X43" s="16"/>
      <c r="Y43" s="16"/>
    </row>
    <row r="44" spans="2:25" ht="14" thickTop="1" thickBot="1">
      <c r="B44" s="21"/>
    </row>
    <row r="45" spans="2:25" ht="13.5" thickTop="1">
      <c r="G45" s="30" t="s">
        <v>24</v>
      </c>
      <c r="H45" s="51">
        <f>12*K43/(K42*(K42+1))-3*(K42+1)</f>
        <v>2.1403508771929793</v>
      </c>
      <c r="J45" s="21"/>
    </row>
    <row r="46" spans="2:25" ht="13">
      <c r="G46" s="31" t="s">
        <v>22</v>
      </c>
      <c r="H46" s="52">
        <f>H45/(1-[1]!TiesCorrection(C31:E40)/(27*(27^2-1)))</f>
        <v>2.2640585966045208</v>
      </c>
    </row>
    <row r="47" spans="2:25" ht="13">
      <c r="G47" s="31" t="s">
        <v>3</v>
      </c>
      <c r="H47" s="53">
        <f>COUNTA(H40:J40)-1</f>
        <v>2</v>
      </c>
    </row>
    <row r="48" spans="2:25" ht="13">
      <c r="G48" s="31" t="s">
        <v>2</v>
      </c>
      <c r="H48" s="54">
        <f>_xlfn.CHISQ.DIST.RT(H46,H47)</f>
        <v>0.32237839026754062</v>
      </c>
      <c r="L48" s="26"/>
      <c r="M48" s="26"/>
      <c r="N48" s="26"/>
    </row>
    <row r="49" spans="2:23" ht="13">
      <c r="G49" s="31" t="s">
        <v>25</v>
      </c>
      <c r="H49" s="52">
        <v>0.05</v>
      </c>
    </row>
    <row r="50" spans="2:23" ht="13.5" thickBot="1">
      <c r="G50" s="32" t="s">
        <v>23</v>
      </c>
      <c r="H50" s="55" t="str">
        <f>IF(H48&lt;H49,"Signficant","No significance")</f>
        <v>No significance</v>
      </c>
    </row>
    <row r="51" spans="2:23" ht="13.5" thickTop="1">
      <c r="Q51" s="16"/>
      <c r="R51" s="16"/>
      <c r="S51" s="16"/>
      <c r="T51" s="16"/>
      <c r="U51" s="16"/>
    </row>
    <row r="52" spans="2:23" ht="13">
      <c r="B52" s="61" t="s">
        <v>34</v>
      </c>
      <c r="C52" s="62"/>
      <c r="D52" s="62"/>
      <c r="E52" s="62"/>
      <c r="F52" s="62"/>
      <c r="G52" s="62"/>
      <c r="H52" s="62"/>
      <c r="I52" s="62"/>
      <c r="J52" s="62"/>
      <c r="K52" s="62"/>
    </row>
    <row r="53" spans="2:23" ht="13" thickBot="1">
      <c r="B53" s="57" t="s">
        <v>28</v>
      </c>
      <c r="C53" s="57"/>
      <c r="D53" s="57"/>
      <c r="E53" s="57"/>
      <c r="F53" s="57"/>
      <c r="G53" s="57"/>
      <c r="H53" s="57"/>
      <c r="I53" s="57"/>
      <c r="J53" s="57"/>
      <c r="K53" s="57"/>
    </row>
    <row r="54" spans="2:23" ht="14" thickTop="1" thickBot="1">
      <c r="C54" s="58" t="s">
        <v>36</v>
      </c>
      <c r="D54" s="59"/>
      <c r="E54" s="60"/>
      <c r="G54" s="58" t="s">
        <v>19</v>
      </c>
      <c r="H54" s="59"/>
      <c r="I54" s="59"/>
      <c r="J54" s="60"/>
    </row>
    <row r="55" spans="2:23" ht="14" thickTop="1" thickBot="1">
      <c r="C55" s="8" t="s">
        <v>14</v>
      </c>
      <c r="D55" s="9" t="s">
        <v>15</v>
      </c>
      <c r="E55" s="10" t="s">
        <v>17</v>
      </c>
      <c r="G55" s="11"/>
      <c r="H55" s="27" t="str">
        <f>C55</f>
        <v>Anonymous</v>
      </c>
      <c r="I55" s="28" t="str">
        <f>D55</f>
        <v>Pseudonymous</v>
      </c>
      <c r="J55" s="29" t="str">
        <f>E55</f>
        <v>Non-Anonymous</v>
      </c>
    </row>
    <row r="56" spans="2:23" ht="13.5" thickTop="1">
      <c r="C56" s="33">
        <v>2</v>
      </c>
      <c r="D56" s="34">
        <v>1</v>
      </c>
      <c r="E56" s="35">
        <v>1</v>
      </c>
      <c r="F56" s="16"/>
      <c r="G56" s="22" t="s">
        <v>6</v>
      </c>
      <c r="H56" s="37">
        <f t="array" ref="H56">MIN(IF(ISBLANK(C56:C65),"",IF(C56:C65&gt;=H57-$C69*(H59-H57),C56:C65,"")))</f>
        <v>1</v>
      </c>
      <c r="I56" s="38">
        <f t="array" ref="I56">MIN(IF(ISBLANK(D56:D65),"",IF(D56:D65&gt;=I57-$C69*(I59-I57),D56:D65,"")))</f>
        <v>1</v>
      </c>
      <c r="J56" s="39">
        <f t="array" ref="J56">MIN(IF(ISBLANK(E56:E65),"",IF(E56:E65&gt;=J57-$C69*(J59-J57),E56:E65,"")))</f>
        <v>1</v>
      </c>
    </row>
    <row r="57" spans="2:23" ht="13">
      <c r="C57" s="33">
        <v>1</v>
      </c>
      <c r="D57" s="34">
        <v>1</v>
      </c>
      <c r="E57" s="35">
        <v>1</v>
      </c>
      <c r="G57" s="23" t="s">
        <v>7</v>
      </c>
      <c r="H57" s="40">
        <f>_xlfn.QUARTILE.INC(C56:C65,1)</f>
        <v>1</v>
      </c>
      <c r="I57" s="41">
        <f>_xlfn.QUARTILE.INC(D56:D65,1)</f>
        <v>1</v>
      </c>
      <c r="J57" s="42">
        <f>_xlfn.QUARTILE.INC(E56:E65,1)</f>
        <v>1</v>
      </c>
    </row>
    <row r="58" spans="2:23" ht="13">
      <c r="C58" s="33">
        <v>1</v>
      </c>
      <c r="D58" s="34">
        <v>1</v>
      </c>
      <c r="E58" s="35">
        <v>1</v>
      </c>
      <c r="G58" s="36" t="s">
        <v>8</v>
      </c>
      <c r="H58" s="43">
        <f>MEDIAN(C56:C65)</f>
        <v>1</v>
      </c>
      <c r="I58" s="44">
        <f>MEDIAN(D56:D65)</f>
        <v>1</v>
      </c>
      <c r="J58" s="45">
        <f>MEDIAN(E56:E65)</f>
        <v>1</v>
      </c>
      <c r="Q58" s="16"/>
      <c r="R58" s="16"/>
      <c r="S58" s="16"/>
      <c r="T58" s="16"/>
      <c r="U58" s="16"/>
      <c r="V58" s="16"/>
      <c r="W58" s="16"/>
    </row>
    <row r="59" spans="2:23" ht="13">
      <c r="C59" s="33">
        <v>2</v>
      </c>
      <c r="D59" s="34">
        <v>1</v>
      </c>
      <c r="E59" s="35">
        <v>1</v>
      </c>
      <c r="G59" s="23" t="s">
        <v>9</v>
      </c>
      <c r="H59" s="40">
        <f>_xlfn.QUARTILE.INC(C56:C65,3)</f>
        <v>1.75</v>
      </c>
      <c r="I59" s="41">
        <f>_xlfn.QUARTILE.INC(D56:D65,3)</f>
        <v>1</v>
      </c>
      <c r="J59" s="42">
        <f>_xlfn.QUARTILE.INC(E56:E65,3)</f>
        <v>1</v>
      </c>
    </row>
    <row r="60" spans="2:23" ht="13">
      <c r="C60" s="33">
        <v>1</v>
      </c>
      <c r="D60" s="34">
        <v>1</v>
      </c>
      <c r="E60" s="35">
        <v>3</v>
      </c>
      <c r="G60" s="23" t="s">
        <v>10</v>
      </c>
      <c r="H60" s="40">
        <f t="array" ref="H60">MAX(IF(ISBLANK(C56:C65),"",IF(C56:C65&lt;=H59+$C69*(H59-H57),C56:C65,"")))</f>
        <v>1</v>
      </c>
      <c r="I60" s="41">
        <f t="array" ref="I60">MAX(IF(ISBLANK(D56:D65),"",IF(D56:D65&lt;=I59+$C69*(I59-I57),D56:D65,"")))</f>
        <v>1</v>
      </c>
      <c r="J60" s="42">
        <f t="array" ref="J60">MAX(IF(ISBLANK(E56:E65),"",IF(E56:E65&lt;=J59+$C69*(J59-J57),E56:E65,"")))</f>
        <v>1</v>
      </c>
    </row>
    <row r="61" spans="2:23" ht="13">
      <c r="C61" s="33">
        <v>1</v>
      </c>
      <c r="D61" s="34">
        <v>1</v>
      </c>
      <c r="E61" s="35">
        <v>1</v>
      </c>
      <c r="G61" s="36" t="s">
        <v>0</v>
      </c>
      <c r="H61" s="43">
        <f>AVERAGE(C56:C65)</f>
        <v>1.3333333333333333</v>
      </c>
      <c r="I61" s="44">
        <f>AVERAGE(D56:D65)</f>
        <v>1</v>
      </c>
      <c r="J61" s="45">
        <f>AVERAGE(E56:E65)</f>
        <v>1.3333333333333333</v>
      </c>
    </row>
    <row r="62" spans="2:23" ht="13.5" thickBot="1">
      <c r="C62" s="13"/>
      <c r="D62" s="14"/>
      <c r="E62" s="15"/>
      <c r="G62" s="24" t="s">
        <v>1</v>
      </c>
      <c r="H62" s="46">
        <f>VAR(C56:C65)</f>
        <v>0.26666666666666677</v>
      </c>
      <c r="I62" s="47">
        <f>VAR(D56:D65)</f>
        <v>0</v>
      </c>
      <c r="J62" s="48">
        <f>VAR(E56:E65)</f>
        <v>0.66666666666666674</v>
      </c>
    </row>
    <row r="63" spans="2:23" ht="13.5" thickTop="1" thickBot="1">
      <c r="C63" s="13"/>
      <c r="D63" s="14"/>
      <c r="E63" s="15"/>
      <c r="G63" s="56"/>
    </row>
    <row r="64" spans="2:23" ht="14" thickTop="1" thickBot="1">
      <c r="C64" s="13"/>
      <c r="D64" s="14"/>
      <c r="E64" s="15"/>
      <c r="G64" s="58" t="s">
        <v>20</v>
      </c>
      <c r="H64" s="59"/>
      <c r="I64" s="59"/>
      <c r="J64" s="59"/>
      <c r="K64" s="60"/>
    </row>
    <row r="65" spans="2:11" ht="14" thickTop="1" thickBot="1">
      <c r="C65" s="17"/>
      <c r="D65" s="18"/>
      <c r="E65" s="19"/>
      <c r="G65" s="11"/>
      <c r="H65" s="8" t="str">
        <f>C55</f>
        <v>Anonymous</v>
      </c>
      <c r="I65" s="9" t="str">
        <f>D55</f>
        <v>Pseudonymous</v>
      </c>
      <c r="J65" s="10" t="str">
        <f>E55</f>
        <v>Non-Anonymous</v>
      </c>
      <c r="K65" s="20"/>
    </row>
    <row r="66" spans="2:11" ht="14" thickTop="1" thickBot="1">
      <c r="B66" s="21"/>
      <c r="G66" s="22" t="s">
        <v>21</v>
      </c>
      <c r="H66" s="37">
        <f>[1]!RANK_SUM(C56:E65, 1,1)</f>
        <v>65</v>
      </c>
      <c r="I66" s="38">
        <f>[1]!RANK_SUM(C56:E65, 2,1)</f>
        <v>48</v>
      </c>
      <c r="J66" s="39">
        <f>[1]!RANK_SUM(C56:E65, 3,1)</f>
        <v>58</v>
      </c>
      <c r="K66" s="5" t="s">
        <v>26</v>
      </c>
    </row>
    <row r="67" spans="2:11" ht="13.5" thickTop="1">
      <c r="G67" s="23" t="s">
        <v>4</v>
      </c>
      <c r="H67" s="40">
        <f>COUNT(C56:C65)</f>
        <v>6</v>
      </c>
      <c r="I67" s="41">
        <f>COUNT(D56:D65)</f>
        <v>6</v>
      </c>
      <c r="J67" s="42">
        <f>COUNT(E56:E65)</f>
        <v>6</v>
      </c>
      <c r="K67" s="49">
        <f>SUM(H67:J67)</f>
        <v>18</v>
      </c>
    </row>
    <row r="68" spans="2:11" ht="15.5" thickBot="1">
      <c r="G68" s="24" t="s">
        <v>27</v>
      </c>
      <c r="H68" s="46">
        <f>H66^2/H67</f>
        <v>704.16666666666663</v>
      </c>
      <c r="I68" s="47">
        <f t="shared" ref="I68:J68" si="2">I66^2/I67</f>
        <v>384</v>
      </c>
      <c r="J68" s="48">
        <f t="shared" si="2"/>
        <v>560.66666666666663</v>
      </c>
      <c r="K68" s="50">
        <f>SUM(H68:J68)</f>
        <v>1648.833333333333</v>
      </c>
    </row>
    <row r="69" spans="2:11" ht="14" thickTop="1" thickBot="1">
      <c r="B69" s="21"/>
    </row>
    <row r="70" spans="2:11" ht="13.5" thickTop="1">
      <c r="G70" s="30" t="s">
        <v>24</v>
      </c>
      <c r="H70" s="51">
        <f>12*K68/(K67*(K67+1))-3*(K67+1)</f>
        <v>0.85380116959063201</v>
      </c>
      <c r="J70" s="21"/>
    </row>
    <row r="71" spans="2:11" ht="13">
      <c r="G71" s="31" t="s">
        <v>22</v>
      </c>
      <c r="H71" s="52">
        <f>H70/(1-[1]!TiesCorrection(C56:E65)/(27*(27^2-1)))</f>
        <v>1.0302219637491383</v>
      </c>
    </row>
    <row r="72" spans="2:11" ht="13">
      <c r="G72" s="31" t="s">
        <v>3</v>
      </c>
      <c r="H72" s="53">
        <f>COUNTA(H65:J65)-1</f>
        <v>2</v>
      </c>
    </row>
    <row r="73" spans="2:11" ht="13">
      <c r="G73" s="31" t="s">
        <v>2</v>
      </c>
      <c r="H73" s="54">
        <f>_xlfn.CHISQ.DIST.RT(H71,H72)</f>
        <v>0.59743428656175479</v>
      </c>
    </row>
    <row r="74" spans="2:11" ht="13">
      <c r="G74" s="31" t="s">
        <v>25</v>
      </c>
      <c r="H74" s="52">
        <v>0.05</v>
      </c>
    </row>
    <row r="75" spans="2:11" ht="13.5" thickBot="1">
      <c r="G75" s="32" t="s">
        <v>23</v>
      </c>
      <c r="H75" s="55" t="str">
        <f>IF(H73&lt;H74,"Signficant","No significance")</f>
        <v>No significance</v>
      </c>
    </row>
    <row r="76" spans="2:11" ht="13" thickTop="1"/>
    <row r="77" spans="2:11" ht="13">
      <c r="B77" s="61" t="s">
        <v>33</v>
      </c>
      <c r="C77" s="62"/>
      <c r="D77" s="62"/>
      <c r="E77" s="62"/>
      <c r="F77" s="62"/>
      <c r="G77" s="62"/>
      <c r="H77" s="62"/>
      <c r="I77" s="62"/>
      <c r="J77" s="62"/>
      <c r="K77" s="62"/>
    </row>
    <row r="78" spans="2:11" ht="13" thickBot="1">
      <c r="B78" s="57" t="s">
        <v>28</v>
      </c>
      <c r="C78" s="57"/>
      <c r="D78" s="57"/>
      <c r="E78" s="57"/>
      <c r="F78" s="57"/>
      <c r="G78" s="57"/>
      <c r="H78" s="57"/>
      <c r="I78" s="57"/>
      <c r="J78" s="57"/>
      <c r="K78" s="57"/>
    </row>
    <row r="79" spans="2:11" ht="14" thickTop="1" thickBot="1">
      <c r="C79" s="58" t="s">
        <v>37</v>
      </c>
      <c r="D79" s="59"/>
      <c r="E79" s="60"/>
      <c r="G79" s="58" t="s">
        <v>19</v>
      </c>
      <c r="H79" s="59"/>
      <c r="I79" s="59"/>
      <c r="J79" s="60"/>
    </row>
    <row r="80" spans="2:11" ht="14" thickTop="1" thickBot="1">
      <c r="C80" s="8" t="s">
        <v>14</v>
      </c>
      <c r="D80" s="9" t="s">
        <v>15</v>
      </c>
      <c r="E80" s="10" t="s">
        <v>17</v>
      </c>
      <c r="G80" s="11"/>
      <c r="H80" s="27" t="str">
        <f>C80</f>
        <v>Anonymous</v>
      </c>
      <c r="I80" s="28" t="str">
        <f>D80</f>
        <v>Pseudonymous</v>
      </c>
      <c r="J80" s="29" t="str">
        <f>E80</f>
        <v>Non-Anonymous</v>
      </c>
    </row>
    <row r="81" spans="2:11" ht="13.5" thickTop="1">
      <c r="C81" s="33">
        <v>4</v>
      </c>
      <c r="D81" s="34">
        <v>3</v>
      </c>
      <c r="E81" s="35">
        <v>2</v>
      </c>
      <c r="F81" s="16"/>
      <c r="G81" s="22" t="s">
        <v>6</v>
      </c>
      <c r="H81" s="37">
        <f t="array" ref="H81">MIN(IF(ISBLANK(C81:C90),"",IF(C81:C90&gt;=H82-$C94*(H84-H82),C81:C90,"")))</f>
        <v>3</v>
      </c>
      <c r="I81" s="38">
        <f t="array" ref="I81">MIN(IF(ISBLANK(D81:D90),"",IF(D81:D90&gt;=I82-$C94*(I84-I82),D81:D90,"")))</f>
        <v>2</v>
      </c>
      <c r="J81" s="39">
        <f t="array" ref="J81">MIN(IF(ISBLANK(E81:E90),"",IF(E81:E90&gt;=J82-$C94*(J84-J82),E81:E90,"")))</f>
        <v>3</v>
      </c>
    </row>
    <row r="82" spans="2:11" ht="13">
      <c r="C82" s="33">
        <v>3</v>
      </c>
      <c r="D82" s="34">
        <v>2</v>
      </c>
      <c r="E82" s="35">
        <v>4</v>
      </c>
      <c r="G82" s="23" t="s">
        <v>7</v>
      </c>
      <c r="H82" s="40">
        <f>_xlfn.QUARTILE.INC(C81:C90,1)</f>
        <v>3</v>
      </c>
      <c r="I82" s="41">
        <f>_xlfn.QUARTILE.INC(D81:D90,1)</f>
        <v>2</v>
      </c>
      <c r="J82" s="42">
        <f>_xlfn.QUARTILE.INC(E81:E90,1)</f>
        <v>3</v>
      </c>
    </row>
    <row r="83" spans="2:11" ht="13">
      <c r="C83" s="33">
        <v>4</v>
      </c>
      <c r="D83" s="34">
        <v>2</v>
      </c>
      <c r="E83" s="35">
        <v>3</v>
      </c>
      <c r="G83" s="36" t="s">
        <v>8</v>
      </c>
      <c r="H83" s="43">
        <f>MEDIAN(C81:C90)</f>
        <v>3.5</v>
      </c>
      <c r="I83" s="44">
        <f>MEDIAN(D81:D90)</f>
        <v>2.5</v>
      </c>
      <c r="J83" s="45">
        <f>MEDIAN(E81:E90)</f>
        <v>3</v>
      </c>
    </row>
    <row r="84" spans="2:11" ht="13">
      <c r="C84" s="33">
        <v>3</v>
      </c>
      <c r="D84" s="34">
        <v>3</v>
      </c>
      <c r="E84" s="35">
        <v>3</v>
      </c>
      <c r="G84" s="23" t="s">
        <v>9</v>
      </c>
      <c r="H84" s="40">
        <f>_xlfn.QUARTILE.INC(C81:C90,3)</f>
        <v>4</v>
      </c>
      <c r="I84" s="41">
        <f>_xlfn.QUARTILE.INC(D81:D90,3)</f>
        <v>3</v>
      </c>
      <c r="J84" s="42">
        <f>_xlfn.QUARTILE.INC(E81:E90,3)</f>
        <v>3.75</v>
      </c>
    </row>
    <row r="85" spans="2:11" ht="13">
      <c r="C85" s="33">
        <v>3</v>
      </c>
      <c r="D85" s="34">
        <v>3</v>
      </c>
      <c r="E85" s="35">
        <v>3</v>
      </c>
      <c r="G85" s="23" t="s">
        <v>10</v>
      </c>
      <c r="H85" s="40">
        <f t="array" ref="H85">MAX(IF(ISBLANK(C81:C90),"",IF(C81:C90&lt;=H84+$C94*(H84-H82),C81:C90,"")))</f>
        <v>4</v>
      </c>
      <c r="I85" s="41">
        <f t="array" ref="I85">MAX(IF(ISBLANK(D81:D90),"",IF(D81:D90&lt;=I84+$C94*(I84-I82),D81:D90,"")))</f>
        <v>3</v>
      </c>
      <c r="J85" s="42">
        <f t="array" ref="J85">MAX(IF(ISBLANK(E81:E90),"",IF(E81:E90&lt;=J84+$C94*(J84-J82),E81:E90,"")))</f>
        <v>3</v>
      </c>
    </row>
    <row r="86" spans="2:11" ht="13">
      <c r="C86" s="33">
        <v>4</v>
      </c>
      <c r="D86" s="34">
        <v>2</v>
      </c>
      <c r="E86" s="35">
        <v>4</v>
      </c>
      <c r="G86" s="36" t="s">
        <v>0</v>
      </c>
      <c r="H86" s="43">
        <f>AVERAGE(C81:C90)</f>
        <v>3.5</v>
      </c>
      <c r="I86" s="44">
        <f>AVERAGE(D81:D90)</f>
        <v>2.5</v>
      </c>
      <c r="J86" s="45">
        <f>AVERAGE(E81:E90)</f>
        <v>3.1666666666666665</v>
      </c>
    </row>
    <row r="87" spans="2:11" ht="13.5" thickBot="1">
      <c r="C87" s="13"/>
      <c r="D87" s="14"/>
      <c r="E87" s="15"/>
      <c r="G87" s="24" t="s">
        <v>1</v>
      </c>
      <c r="H87" s="46">
        <f>VAR(C81:C90)</f>
        <v>0.3</v>
      </c>
      <c r="I87" s="47">
        <f>VAR(D81:D90)</f>
        <v>0.3</v>
      </c>
      <c r="J87" s="48">
        <f>VAR(E81:E90)</f>
        <v>0.5666666666666671</v>
      </c>
    </row>
    <row r="88" spans="2:11" ht="13.5" thickTop="1" thickBot="1">
      <c r="C88" s="13"/>
      <c r="D88" s="14"/>
      <c r="E88" s="15"/>
      <c r="G88" s="56"/>
    </row>
    <row r="89" spans="2:11" ht="14" thickTop="1" thickBot="1">
      <c r="C89" s="13"/>
      <c r="D89" s="14"/>
      <c r="E89" s="15"/>
      <c r="G89" s="58" t="s">
        <v>20</v>
      </c>
      <c r="H89" s="59"/>
      <c r="I89" s="59"/>
      <c r="J89" s="59"/>
      <c r="K89" s="60"/>
    </row>
    <row r="90" spans="2:11" ht="14" thickTop="1" thickBot="1">
      <c r="C90" s="17"/>
      <c r="D90" s="18"/>
      <c r="E90" s="19"/>
      <c r="G90" s="11"/>
      <c r="H90" s="8" t="str">
        <f>C80</f>
        <v>Anonymous</v>
      </c>
      <c r="I90" s="9" t="str">
        <f>D80</f>
        <v>Pseudonymous</v>
      </c>
      <c r="J90" s="10" t="str">
        <f>E80</f>
        <v>Non-Anonymous</v>
      </c>
      <c r="K90" s="20"/>
    </row>
    <row r="91" spans="2:11" ht="14" thickTop="1" thickBot="1">
      <c r="B91" s="21"/>
      <c r="G91" s="22" t="s">
        <v>21</v>
      </c>
      <c r="H91" s="37">
        <f>[1]!RANK_SUM(C81:E90, 1,1)</f>
        <v>75</v>
      </c>
      <c r="I91" s="38">
        <f>[1]!RANK_SUM(C81:E90, 2,1)</f>
        <v>34.5</v>
      </c>
      <c r="J91" s="39">
        <f>[1]!RANK_SUM(C81:E90, 3,1)</f>
        <v>61.5</v>
      </c>
      <c r="K91" s="5" t="s">
        <v>26</v>
      </c>
    </row>
    <row r="92" spans="2:11" ht="13.5" thickTop="1">
      <c r="G92" s="23" t="s">
        <v>4</v>
      </c>
      <c r="H92" s="40">
        <f>COUNT(C81:C90)</f>
        <v>6</v>
      </c>
      <c r="I92" s="41">
        <f>COUNT(D81:D90)</f>
        <v>6</v>
      </c>
      <c r="J92" s="42">
        <f>COUNT(E81:E90)</f>
        <v>6</v>
      </c>
      <c r="K92" s="49">
        <f>SUM(H92:J92)</f>
        <v>18</v>
      </c>
    </row>
    <row r="93" spans="2:11" ht="15.5" thickBot="1">
      <c r="G93" s="24" t="s">
        <v>27</v>
      </c>
      <c r="H93" s="46">
        <f>H91^2/H92</f>
        <v>937.5</v>
      </c>
      <c r="I93" s="47">
        <f t="shared" ref="I93:J93" si="3">I91^2/I92</f>
        <v>198.375</v>
      </c>
      <c r="J93" s="48">
        <f t="shared" si="3"/>
        <v>630.375</v>
      </c>
      <c r="K93" s="50">
        <f>SUM(H93:J93)</f>
        <v>1766.25</v>
      </c>
    </row>
    <row r="94" spans="2:11" ht="14" thickTop="1" thickBot="1">
      <c r="B94" s="21"/>
    </row>
    <row r="95" spans="2:11" ht="13.5" thickTop="1">
      <c r="G95" s="30" t="s">
        <v>24</v>
      </c>
      <c r="H95" s="51">
        <f>12*K93/(K92*(K92+1))-3*(K92+1)</f>
        <v>4.973684210526315</v>
      </c>
      <c r="J95" s="21"/>
    </row>
    <row r="96" spans="2:11" ht="13">
      <c r="G96" s="31" t="s">
        <v>22</v>
      </c>
      <c r="H96" s="52">
        <f>H95/(1-[1]!TiesCorrection(C81:E90)/(27*(27^2-1)))</f>
        <v>5.2123446812809364</v>
      </c>
    </row>
    <row r="97" spans="2:11" ht="13">
      <c r="G97" s="31" t="s">
        <v>3</v>
      </c>
      <c r="H97" s="53">
        <f>COUNTA(H90:J90)-1</f>
        <v>2</v>
      </c>
    </row>
    <row r="98" spans="2:11" ht="13">
      <c r="G98" s="31" t="s">
        <v>2</v>
      </c>
      <c r="H98" s="54">
        <f>_xlfn.CHISQ.DIST.RT(H96,H97)</f>
        <v>7.3816548312113053E-2</v>
      </c>
    </row>
    <row r="99" spans="2:11" ht="13">
      <c r="G99" s="31" t="s">
        <v>25</v>
      </c>
      <c r="H99" s="52">
        <v>0.05</v>
      </c>
    </row>
    <row r="100" spans="2:11" ht="13.5" thickBot="1">
      <c r="G100" s="32" t="s">
        <v>23</v>
      </c>
      <c r="H100" s="55" t="str">
        <f>IF(H98&lt;H99,"Signficant","No significance")</f>
        <v>No significance</v>
      </c>
    </row>
    <row r="101" spans="2:11" ht="13" thickTop="1"/>
    <row r="102" spans="2:11" ht="13">
      <c r="B102" s="61" t="s">
        <v>32</v>
      </c>
      <c r="C102" s="62"/>
      <c r="D102" s="62"/>
      <c r="E102" s="62"/>
      <c r="F102" s="62"/>
      <c r="G102" s="62"/>
      <c r="H102" s="62"/>
      <c r="I102" s="62"/>
      <c r="J102" s="62"/>
      <c r="K102" s="62"/>
    </row>
    <row r="103" spans="2:11" ht="13" thickBot="1">
      <c r="B103" s="57" t="s">
        <v>28</v>
      </c>
      <c r="C103" s="57"/>
      <c r="D103" s="57"/>
      <c r="E103" s="57"/>
      <c r="F103" s="57"/>
      <c r="G103" s="57"/>
      <c r="H103" s="57"/>
      <c r="I103" s="57"/>
      <c r="J103" s="57"/>
      <c r="K103" s="57"/>
    </row>
    <row r="104" spans="2:11" ht="14" thickTop="1" thickBot="1">
      <c r="C104" s="58" t="s">
        <v>38</v>
      </c>
      <c r="D104" s="59"/>
      <c r="E104" s="60"/>
      <c r="G104" s="58" t="s">
        <v>19</v>
      </c>
      <c r="H104" s="59"/>
      <c r="I104" s="59"/>
      <c r="J104" s="60"/>
    </row>
    <row r="105" spans="2:11" ht="14" thickTop="1" thickBot="1">
      <c r="C105" s="8" t="s">
        <v>14</v>
      </c>
      <c r="D105" s="9" t="s">
        <v>15</v>
      </c>
      <c r="E105" s="10" t="s">
        <v>17</v>
      </c>
      <c r="G105" s="11"/>
      <c r="H105" s="27" t="str">
        <f>C105</f>
        <v>Anonymous</v>
      </c>
      <c r="I105" s="28" t="str">
        <f>D105</f>
        <v>Pseudonymous</v>
      </c>
      <c r="J105" s="29" t="str">
        <f>E105</f>
        <v>Non-Anonymous</v>
      </c>
    </row>
    <row r="106" spans="2:11" ht="13.5" thickTop="1">
      <c r="C106" s="33">
        <v>2</v>
      </c>
      <c r="D106" s="34">
        <v>3</v>
      </c>
      <c r="E106" s="35">
        <v>1</v>
      </c>
      <c r="F106" s="16"/>
      <c r="G106" s="22" t="s">
        <v>6</v>
      </c>
      <c r="H106" s="37">
        <f t="array" ref="H106">MIN(IF(ISBLANK(C106:C115),"",IF(C106:C115&gt;=H107-$C119*(H109-H107),C106:C115,"")))</f>
        <v>1</v>
      </c>
      <c r="I106" s="38">
        <f t="array" ref="I106">MIN(IF(ISBLANK(D106:D115),"",IF(D106:D115&gt;=I107-$C119*(I109-I107),D106:D115,"")))</f>
        <v>1</v>
      </c>
      <c r="J106" s="39">
        <f t="array" ref="J106">MIN(IF(ISBLANK(E106:E115),"",IF(E106:E115&gt;=J107-$C119*(J109-J107),E106:E115,"")))</f>
        <v>1</v>
      </c>
    </row>
    <row r="107" spans="2:11" ht="13">
      <c r="C107" s="33">
        <v>1</v>
      </c>
      <c r="D107" s="34">
        <v>1</v>
      </c>
      <c r="E107" s="35">
        <v>4</v>
      </c>
      <c r="G107" s="23" t="s">
        <v>7</v>
      </c>
      <c r="H107" s="40">
        <f>_xlfn.QUARTILE.INC(C106:C115,1)</f>
        <v>1</v>
      </c>
      <c r="I107" s="41">
        <f>_xlfn.QUARTILE.INC(D106:D115,1)</f>
        <v>1</v>
      </c>
      <c r="J107" s="42">
        <f>_xlfn.QUARTILE.INC(E106:E115,1)</f>
        <v>1</v>
      </c>
    </row>
    <row r="108" spans="2:11" ht="13">
      <c r="C108" s="33">
        <v>1</v>
      </c>
      <c r="D108" s="34">
        <v>1</v>
      </c>
      <c r="E108" s="35">
        <v>2</v>
      </c>
      <c r="G108" s="36" t="s">
        <v>8</v>
      </c>
      <c r="H108" s="43">
        <f>MEDIAN(C106:C115)</f>
        <v>1</v>
      </c>
      <c r="I108" s="44">
        <f>MEDIAN(D106:D115)</f>
        <v>1</v>
      </c>
      <c r="J108" s="45">
        <f>MEDIAN(E106:E115)</f>
        <v>1.5</v>
      </c>
    </row>
    <row r="109" spans="2:11" ht="13">
      <c r="C109" s="33">
        <v>1</v>
      </c>
      <c r="D109" s="34">
        <v>1</v>
      </c>
      <c r="E109" s="35">
        <v>1</v>
      </c>
      <c r="G109" s="23" t="s">
        <v>9</v>
      </c>
      <c r="H109" s="40">
        <f>_xlfn.QUARTILE.INC(C106:C115,3)</f>
        <v>1</v>
      </c>
      <c r="I109" s="41">
        <f>_xlfn.QUARTILE.INC(D106:D115,3)</f>
        <v>2.5</v>
      </c>
      <c r="J109" s="42">
        <f>_xlfn.QUARTILE.INC(E106:E115,3)</f>
        <v>3.5</v>
      </c>
    </row>
    <row r="110" spans="2:11" ht="13">
      <c r="C110" s="33">
        <v>1</v>
      </c>
      <c r="D110" s="34">
        <v>1</v>
      </c>
      <c r="E110" s="35">
        <v>1</v>
      </c>
      <c r="G110" s="23" t="s">
        <v>10</v>
      </c>
      <c r="H110" s="40">
        <f t="array" ref="H110">MAX(IF(ISBLANK(C106:C115),"",IF(C106:C115&lt;=H109+$C119*(H109-H107),C106:C115,"")))</f>
        <v>1</v>
      </c>
      <c r="I110" s="41">
        <f t="array" ref="I110">MAX(IF(ISBLANK(D106:D115),"",IF(D106:D115&lt;=I109+$C119*(I109-I107),D106:D115,"")))</f>
        <v>1</v>
      </c>
      <c r="J110" s="42">
        <f t="array" ref="J110">MAX(IF(ISBLANK(E106:E115),"",IF(E106:E115&lt;=J109+$C119*(J109-J107),E106:E115,"")))</f>
        <v>2</v>
      </c>
    </row>
    <row r="111" spans="2:11" ht="13">
      <c r="C111" s="33">
        <v>1</v>
      </c>
      <c r="D111" s="34">
        <v>3</v>
      </c>
      <c r="E111" s="35">
        <v>4</v>
      </c>
      <c r="G111" s="36" t="s">
        <v>0</v>
      </c>
      <c r="H111" s="43">
        <f>AVERAGE(C106:C115)</f>
        <v>1.1666666666666667</v>
      </c>
      <c r="I111" s="44">
        <f>AVERAGE(D106:D115)</f>
        <v>1.6666666666666667</v>
      </c>
      <c r="J111" s="45">
        <f>AVERAGE(E106:E115)</f>
        <v>2.1666666666666665</v>
      </c>
    </row>
    <row r="112" spans="2:11" ht="13.5" thickBot="1">
      <c r="C112" s="13"/>
      <c r="D112" s="14"/>
      <c r="E112" s="15"/>
      <c r="G112" s="24" t="s">
        <v>1</v>
      </c>
      <c r="H112" s="46">
        <f>VAR(C106:C115)</f>
        <v>0.1666666666666668</v>
      </c>
      <c r="I112" s="47">
        <f>VAR(D106:D115)</f>
        <v>1.0666666666666664</v>
      </c>
      <c r="J112" s="48">
        <f>VAR(E106:E115)</f>
        <v>2.1666666666666665</v>
      </c>
    </row>
    <row r="113" spans="2:11" ht="13.5" thickTop="1" thickBot="1">
      <c r="C113" s="13"/>
      <c r="D113" s="14"/>
      <c r="E113" s="15"/>
      <c r="G113" s="56"/>
    </row>
    <row r="114" spans="2:11" ht="14" thickTop="1" thickBot="1">
      <c r="C114" s="13"/>
      <c r="D114" s="14"/>
      <c r="E114" s="15"/>
      <c r="G114" s="58" t="s">
        <v>20</v>
      </c>
      <c r="H114" s="59"/>
      <c r="I114" s="59"/>
      <c r="J114" s="59"/>
      <c r="K114" s="60"/>
    </row>
    <row r="115" spans="2:11" ht="14" thickTop="1" thickBot="1">
      <c r="C115" s="17"/>
      <c r="D115" s="18"/>
      <c r="E115" s="19"/>
      <c r="G115" s="11"/>
      <c r="H115" s="8" t="str">
        <f>C105</f>
        <v>Anonymous</v>
      </c>
      <c r="I115" s="9" t="str">
        <f>D105</f>
        <v>Pseudonymous</v>
      </c>
      <c r="J115" s="10" t="str">
        <f>E105</f>
        <v>Non-Anonymous</v>
      </c>
      <c r="K115" s="20"/>
    </row>
    <row r="116" spans="2:11" ht="14" thickTop="1" thickBot="1">
      <c r="B116" s="21"/>
      <c r="G116" s="22" t="s">
        <v>21</v>
      </c>
      <c r="H116" s="37">
        <f>[1]!RANK_SUM(C106:E115, 1,1)</f>
        <v>46</v>
      </c>
      <c r="I116" s="38">
        <f>[1]!RANK_SUM(C106:E115, 2,1)</f>
        <v>57</v>
      </c>
      <c r="J116" s="39">
        <f>[1]!RANK_SUM(C106:E115, 3,1)</f>
        <v>68</v>
      </c>
      <c r="K116" s="5" t="s">
        <v>26</v>
      </c>
    </row>
    <row r="117" spans="2:11" ht="13.5" thickTop="1">
      <c r="G117" s="23" t="s">
        <v>4</v>
      </c>
      <c r="H117" s="40">
        <f>COUNT(C106:C115)</f>
        <v>6</v>
      </c>
      <c r="I117" s="41">
        <f>COUNT(D106:D115)</f>
        <v>6</v>
      </c>
      <c r="J117" s="42">
        <f>COUNT(E106:E115)</f>
        <v>6</v>
      </c>
      <c r="K117" s="49">
        <f>SUM(H117:J117)</f>
        <v>18</v>
      </c>
    </row>
    <row r="118" spans="2:11" ht="15.5" thickBot="1">
      <c r="G118" s="24" t="s">
        <v>27</v>
      </c>
      <c r="H118" s="46">
        <f>H116^2/H117</f>
        <v>352.66666666666669</v>
      </c>
      <c r="I118" s="47">
        <f t="shared" ref="I118:J118" si="4">I116^2/I117</f>
        <v>541.5</v>
      </c>
      <c r="J118" s="48">
        <f t="shared" si="4"/>
        <v>770.66666666666663</v>
      </c>
      <c r="K118" s="50">
        <f>SUM(H118:J118)</f>
        <v>1664.8333333333335</v>
      </c>
    </row>
    <row r="119" spans="2:11" ht="14" thickTop="1" thickBot="1">
      <c r="B119" s="21"/>
    </row>
    <row r="120" spans="2:11" ht="13.5" thickTop="1">
      <c r="G120" s="30" t="s">
        <v>24</v>
      </c>
      <c r="H120" s="51">
        <f>12*K118/(K117*(K117+1))-3*(K117+1)</f>
        <v>1.4152046783625707</v>
      </c>
      <c r="J120" s="21"/>
    </row>
    <row r="121" spans="2:11" ht="13">
      <c r="G121" s="31" t="s">
        <v>22</v>
      </c>
      <c r="H121" s="52">
        <f>H120/(1-[1]!TiesCorrection(C106:E115)/(27*(27^2-1)))</f>
        <v>1.552129402850948</v>
      </c>
    </row>
    <row r="122" spans="2:11" ht="13">
      <c r="G122" s="31" t="s">
        <v>3</v>
      </c>
      <c r="H122" s="53">
        <f>COUNTA(H115:J115)-1</f>
        <v>2</v>
      </c>
    </row>
    <row r="123" spans="2:11" ht="13">
      <c r="G123" s="31" t="s">
        <v>2</v>
      </c>
      <c r="H123" s="54">
        <f>_xlfn.CHISQ.DIST.RT(H121,H122)</f>
        <v>0.46021353005836452</v>
      </c>
    </row>
    <row r="124" spans="2:11" ht="13">
      <c r="G124" s="31" t="s">
        <v>25</v>
      </c>
      <c r="H124" s="52">
        <v>0.05</v>
      </c>
    </row>
    <row r="125" spans="2:11" ht="13.5" thickBot="1">
      <c r="G125" s="32" t="s">
        <v>23</v>
      </c>
      <c r="H125" s="55" t="str">
        <f>IF(H123&lt;H124,"Signficant","No significance")</f>
        <v>No significance</v>
      </c>
    </row>
    <row r="126" spans="2:11" ht="13" thickTop="1"/>
  </sheetData>
  <mergeCells count="26">
    <mergeCell ref="G14:K14"/>
    <mergeCell ref="B1:K1"/>
    <mergeCell ref="B2:K2"/>
    <mergeCell ref="B3:K3"/>
    <mergeCell ref="C4:E4"/>
    <mergeCell ref="G4:J4"/>
    <mergeCell ref="B78:K78"/>
    <mergeCell ref="B27:K27"/>
    <mergeCell ref="B28:K28"/>
    <mergeCell ref="C29:E29"/>
    <mergeCell ref="G29:J29"/>
    <mergeCell ref="G39:K39"/>
    <mergeCell ref="B52:K52"/>
    <mergeCell ref="B53:K53"/>
    <mergeCell ref="C54:E54"/>
    <mergeCell ref="G54:J54"/>
    <mergeCell ref="G64:K64"/>
    <mergeCell ref="B77:K77"/>
    <mergeCell ref="G114:K114"/>
    <mergeCell ref="C79:E79"/>
    <mergeCell ref="G79:J79"/>
    <mergeCell ref="G89:K89"/>
    <mergeCell ref="B102:K102"/>
    <mergeCell ref="B103:K103"/>
    <mergeCell ref="C104:E104"/>
    <mergeCell ref="G104:J10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0FDF-47D3-4BC4-A048-C850A8935F63}">
  <dimension ref="A1:Y126"/>
  <sheetViews>
    <sheetView showGridLines="0" topLeftCell="A98" zoomScale="96" zoomScaleNormal="80" workbookViewId="0">
      <selection activeCell="B101" sqref="B101:K108"/>
    </sheetView>
  </sheetViews>
  <sheetFormatPr defaultRowHeight="12.5"/>
  <cols>
    <col min="1" max="1" width="6.1796875" style="7" customWidth="1"/>
    <col min="2" max="2" width="6.453125" style="7" customWidth="1"/>
    <col min="3" max="3" width="15.7265625" style="7" customWidth="1"/>
    <col min="4" max="4" width="15.36328125" style="7" customWidth="1"/>
    <col min="5" max="5" width="16" style="7" customWidth="1"/>
    <col min="6" max="6" width="8.7265625" style="7"/>
    <col min="7" max="7" width="16.26953125" style="7" customWidth="1"/>
    <col min="8" max="9" width="15.36328125" style="7" customWidth="1"/>
    <col min="10" max="10" width="15.81640625" style="7" customWidth="1"/>
    <col min="11" max="11" width="12.1796875" style="7" customWidth="1"/>
    <col min="12" max="12" width="14.08984375" style="7" customWidth="1"/>
    <col min="13" max="15" width="18.6328125" style="7" customWidth="1"/>
    <col min="16" max="16" width="8.7265625" style="7"/>
    <col min="17" max="17" width="15.90625" style="7" customWidth="1"/>
    <col min="18" max="18" width="8.7265625" style="7"/>
    <col min="19" max="21" width="15" style="7" customWidth="1"/>
    <col min="22" max="16384" width="8.7265625" style="7"/>
  </cols>
  <sheetData>
    <row r="1" spans="1:25" ht="33.5" customHeight="1">
      <c r="A1" s="6"/>
      <c r="B1" s="63" t="s">
        <v>40</v>
      </c>
      <c r="C1" s="63"/>
      <c r="D1" s="63"/>
      <c r="E1" s="63"/>
      <c r="F1" s="63"/>
      <c r="G1" s="63"/>
      <c r="H1" s="63"/>
      <c r="I1" s="63"/>
      <c r="J1" s="63"/>
      <c r="K1" s="63"/>
    </row>
    <row r="2" spans="1:25" ht="27" customHeight="1">
      <c r="A2" s="6"/>
      <c r="B2" s="61" t="s">
        <v>29</v>
      </c>
      <c r="C2" s="62"/>
      <c r="D2" s="62"/>
      <c r="E2" s="62"/>
      <c r="F2" s="62"/>
      <c r="G2" s="62"/>
      <c r="H2" s="62"/>
      <c r="I2" s="62"/>
      <c r="J2" s="62"/>
      <c r="K2" s="62"/>
    </row>
    <row r="3" spans="1:25" ht="18.5" customHeight="1" thickBot="1">
      <c r="A3" s="6"/>
      <c r="B3" s="57" t="s">
        <v>28</v>
      </c>
      <c r="C3" s="57"/>
      <c r="D3" s="57"/>
      <c r="E3" s="57"/>
      <c r="F3" s="57"/>
      <c r="G3" s="57"/>
      <c r="H3" s="57"/>
      <c r="I3" s="57"/>
      <c r="J3" s="57"/>
      <c r="K3" s="57"/>
    </row>
    <row r="4" spans="1:25" ht="14" thickTop="1" thickBot="1">
      <c r="C4" s="58" t="s">
        <v>18</v>
      </c>
      <c r="D4" s="59"/>
      <c r="E4" s="60"/>
      <c r="G4" s="58" t="s">
        <v>19</v>
      </c>
      <c r="H4" s="59"/>
      <c r="I4" s="59"/>
      <c r="J4" s="60"/>
    </row>
    <row r="5" spans="1:25" ht="14" thickTop="1" thickBot="1">
      <c r="C5" s="8" t="s">
        <v>14</v>
      </c>
      <c r="D5" s="9" t="s">
        <v>15</v>
      </c>
      <c r="E5" s="10" t="s">
        <v>17</v>
      </c>
      <c r="G5" s="11"/>
      <c r="H5" s="27" t="str">
        <f>C5</f>
        <v>Anonymous</v>
      </c>
      <c r="I5" s="28" t="str">
        <f>D5</f>
        <v>Pseudonymous</v>
      </c>
      <c r="J5" s="29" t="str">
        <f>E5</f>
        <v>Non-Anonymous</v>
      </c>
      <c r="S5" s="12"/>
      <c r="T5" s="12"/>
      <c r="U5" s="12"/>
    </row>
    <row r="6" spans="1:25" ht="13.5" thickTop="1">
      <c r="C6" s="33">
        <v>2</v>
      </c>
      <c r="D6" s="34">
        <v>2</v>
      </c>
      <c r="E6" s="35">
        <v>2</v>
      </c>
      <c r="F6" s="16"/>
      <c r="G6" s="22" t="s">
        <v>6</v>
      </c>
      <c r="H6" s="37">
        <f t="array" ref="H6">MIN(IF(ISBLANK(C6:C15),"",IF(C6:C15&gt;=H7-$C19*(H9-H7),C6:C15,"")))</f>
        <v>2</v>
      </c>
      <c r="I6" s="38">
        <f t="array" ref="I6">MIN(IF(ISBLANK(D6:D15),"",IF(D6:D15&gt;=I7-$C19*(I9-I7),D6:D15,"")))</f>
        <v>2</v>
      </c>
      <c r="J6" s="39">
        <f t="array" ref="J6">MIN(IF(ISBLANK(E6:E15),"",IF(E6:E15&gt;=J7-$C19*(J9-J7),E6:E15,"")))</f>
        <v>2</v>
      </c>
    </row>
    <row r="7" spans="1:25" ht="13">
      <c r="C7" s="33">
        <v>1</v>
      </c>
      <c r="D7" s="34">
        <v>3</v>
      </c>
      <c r="E7" s="35">
        <v>1</v>
      </c>
      <c r="G7" s="23" t="s">
        <v>7</v>
      </c>
      <c r="H7" s="40">
        <f>_xlfn.QUARTILE.INC(C6:C15,1)</f>
        <v>1.25</v>
      </c>
      <c r="I7" s="41">
        <f>_xlfn.QUARTILE.INC(D6:D15,1)</f>
        <v>2</v>
      </c>
      <c r="J7" s="42">
        <f>_xlfn.QUARTILE.INC(E6:E15,1)</f>
        <v>1.25</v>
      </c>
      <c r="W7" s="16"/>
      <c r="X7" s="16"/>
      <c r="Y7" s="16"/>
    </row>
    <row r="8" spans="1:25" ht="13">
      <c r="C8" s="33">
        <v>2</v>
      </c>
      <c r="D8" s="34">
        <v>2</v>
      </c>
      <c r="E8" s="35">
        <v>2</v>
      </c>
      <c r="G8" s="36" t="s">
        <v>8</v>
      </c>
      <c r="H8" s="43">
        <f>MEDIAN(C6:C15)</f>
        <v>2</v>
      </c>
      <c r="I8" s="44">
        <f>MEDIAN(D6:D15)</f>
        <v>2.5</v>
      </c>
      <c r="J8" s="45">
        <f>MEDIAN(E6:E15)</f>
        <v>2</v>
      </c>
    </row>
    <row r="9" spans="1:25" ht="13">
      <c r="C9" s="33">
        <v>2</v>
      </c>
      <c r="D9" s="34">
        <v>3</v>
      </c>
      <c r="E9" s="35">
        <v>1</v>
      </c>
      <c r="G9" s="23" t="s">
        <v>9</v>
      </c>
      <c r="H9" s="40">
        <f>_xlfn.QUARTILE.INC(C6:C15,3)</f>
        <v>2</v>
      </c>
      <c r="I9" s="41">
        <f>_xlfn.QUARTILE.INC(D6:D15,3)</f>
        <v>3</v>
      </c>
      <c r="J9" s="42">
        <f>_xlfn.QUARTILE.INC(E6:E15,3)</f>
        <v>2.75</v>
      </c>
    </row>
    <row r="10" spans="1:25" ht="13">
      <c r="C10" s="33">
        <v>1</v>
      </c>
      <c r="D10" s="34">
        <v>1</v>
      </c>
      <c r="E10" s="35">
        <v>3</v>
      </c>
      <c r="G10" s="23" t="s">
        <v>10</v>
      </c>
      <c r="H10" s="40">
        <f t="array" ref="H10">MAX(IF(ISBLANK(C6:C15),"",IF(C6:C15&lt;=H9+$C19*(H9-H7),C6:C15,"")))</f>
        <v>2</v>
      </c>
      <c r="I10" s="41">
        <f t="array" ref="I10">MAX(IF(ISBLANK(D6:D15),"",IF(D6:D15&lt;=I9+$C19*(I9-I7),D6:D15,"")))</f>
        <v>3</v>
      </c>
      <c r="J10" s="42">
        <f t="array" ref="J10">MAX(IF(ISBLANK(E6:E15),"",IF(E6:E15&lt;=J9+$C19*(J9-J7),E6:E15,"")))</f>
        <v>2</v>
      </c>
    </row>
    <row r="11" spans="1:25" ht="13">
      <c r="C11" s="33">
        <v>3</v>
      </c>
      <c r="D11" s="34">
        <v>4</v>
      </c>
      <c r="E11" s="35">
        <v>4</v>
      </c>
      <c r="G11" s="36" t="s">
        <v>0</v>
      </c>
      <c r="H11" s="43">
        <f>AVERAGE(C6:C15)</f>
        <v>1.8333333333333333</v>
      </c>
      <c r="I11" s="44">
        <f>AVERAGE(D6:D15)</f>
        <v>2.5</v>
      </c>
      <c r="J11" s="45">
        <f>AVERAGE(E6:E15)</f>
        <v>2.1666666666666665</v>
      </c>
    </row>
    <row r="12" spans="1:25" ht="13.5" thickBot="1">
      <c r="C12" s="13"/>
      <c r="D12" s="14"/>
      <c r="E12" s="15"/>
      <c r="G12" s="24" t="s">
        <v>1</v>
      </c>
      <c r="H12" s="46">
        <f>VAR(C6:C15)</f>
        <v>0.56666666666666643</v>
      </c>
      <c r="I12" s="47">
        <f>VAR(D6:D15)</f>
        <v>1.1000000000000001</v>
      </c>
      <c r="J12" s="48">
        <f>VAR(E6:E15)</f>
        <v>1.3666666666666665</v>
      </c>
    </row>
    <row r="13" spans="1:25" ht="14" thickTop="1" thickBot="1">
      <c r="C13" s="13"/>
      <c r="D13" s="14"/>
      <c r="E13" s="15"/>
      <c r="G13" s="56"/>
      <c r="W13" s="16"/>
      <c r="X13" s="16"/>
      <c r="Y13" s="16"/>
    </row>
    <row r="14" spans="1:25" ht="14" thickTop="1" thickBot="1">
      <c r="C14" s="13"/>
      <c r="D14" s="14"/>
      <c r="E14" s="15"/>
      <c r="G14" s="58" t="s">
        <v>20</v>
      </c>
      <c r="H14" s="59"/>
      <c r="I14" s="59"/>
      <c r="J14" s="59"/>
      <c r="K14" s="60"/>
    </row>
    <row r="15" spans="1:25" ht="14" thickTop="1" thickBot="1">
      <c r="C15" s="17"/>
      <c r="D15" s="18"/>
      <c r="E15" s="19"/>
      <c r="G15" s="11"/>
      <c r="H15" s="8" t="str">
        <f>C5</f>
        <v>Anonymous</v>
      </c>
      <c r="I15" s="9" t="str">
        <f>D5</f>
        <v>Pseudonymous</v>
      </c>
      <c r="J15" s="10" t="str">
        <f>E5</f>
        <v>Non-Anonymous</v>
      </c>
      <c r="K15" s="20"/>
    </row>
    <row r="16" spans="1:25" ht="14" thickTop="1" thickBot="1">
      <c r="B16" s="21"/>
      <c r="G16" s="22" t="s">
        <v>21</v>
      </c>
      <c r="H16" s="37">
        <f>[1]!RANK_SUM(C6:E15, 1,1)</f>
        <v>47.5</v>
      </c>
      <c r="I16" s="38">
        <f>[1]!RANK_SUM(C6:E15, 2,1)</f>
        <v>67.5</v>
      </c>
      <c r="J16" s="39">
        <f>[1]!RANK_SUM(C6:E15, 3,1)</f>
        <v>56</v>
      </c>
      <c r="K16" s="5" t="s">
        <v>26</v>
      </c>
      <c r="R16" s="21"/>
    </row>
    <row r="17" spans="2:23" ht="13.5" thickTop="1">
      <c r="G17" s="23" t="s">
        <v>4</v>
      </c>
      <c r="H17" s="40">
        <f>COUNT(C6:C15)</f>
        <v>6</v>
      </c>
      <c r="I17" s="41">
        <f>COUNT(D6:D15)</f>
        <v>6</v>
      </c>
      <c r="J17" s="42">
        <f>COUNT(E6:E15)</f>
        <v>6</v>
      </c>
      <c r="K17" s="49">
        <f>SUM(H17:J17)</f>
        <v>18</v>
      </c>
    </row>
    <row r="18" spans="2:23" ht="15.5" thickBot="1">
      <c r="G18" s="24" t="s">
        <v>27</v>
      </c>
      <c r="H18" s="46">
        <f>H16^2/H17</f>
        <v>376.04166666666669</v>
      </c>
      <c r="I18" s="47">
        <f t="shared" ref="I18:J18" si="0">I16^2/I17</f>
        <v>759.375</v>
      </c>
      <c r="J18" s="48">
        <f t="shared" si="0"/>
        <v>522.66666666666663</v>
      </c>
      <c r="K18" s="50">
        <f>SUM(H18:J18)</f>
        <v>1658.0833333333335</v>
      </c>
      <c r="R18" s="21"/>
    </row>
    <row r="19" spans="2:23" ht="14" thickTop="1" thickBot="1">
      <c r="B19" s="21"/>
      <c r="R19" s="21"/>
    </row>
    <row r="20" spans="2:23" ht="13.5" thickTop="1">
      <c r="G20" s="30" t="s">
        <v>24</v>
      </c>
      <c r="H20" s="51">
        <f>12*K18/(K17*(K17+1))-3*(K17+1)</f>
        <v>1.1783625730994132</v>
      </c>
      <c r="J20" s="21"/>
      <c r="R20" s="21"/>
    </row>
    <row r="21" spans="2:23" ht="13">
      <c r="G21" s="31" t="s">
        <v>22</v>
      </c>
      <c r="H21" s="52">
        <f>H20/(1-[1]!TiesCorrection(C6:E15)/(27*(27^2-1)))</f>
        <v>1.2105098116882025</v>
      </c>
      <c r="R21" s="21"/>
    </row>
    <row r="22" spans="2:23" ht="13">
      <c r="G22" s="31" t="s">
        <v>3</v>
      </c>
      <c r="H22" s="53">
        <f>COUNTA(H15:J15)-1</f>
        <v>2</v>
      </c>
      <c r="R22" s="21"/>
    </row>
    <row r="23" spans="2:23" ht="13">
      <c r="G23" s="31" t="s">
        <v>2</v>
      </c>
      <c r="H23" s="54">
        <f>_xlfn.CHISQ.DIST.RT(H21,H22)</f>
        <v>0.54593524681667349</v>
      </c>
      <c r="R23" s="21"/>
      <c r="V23" s="25"/>
    </row>
    <row r="24" spans="2:23" ht="13">
      <c r="G24" s="31" t="s">
        <v>25</v>
      </c>
      <c r="H24" s="52">
        <v>0.05</v>
      </c>
    </row>
    <row r="25" spans="2:23" ht="13.5" thickBot="1">
      <c r="G25" s="32" t="s">
        <v>23</v>
      </c>
      <c r="H25" s="55" t="str">
        <f>IF(H23&lt;H24,"Signficant","No significance")</f>
        <v>No significance</v>
      </c>
    </row>
    <row r="26" spans="2:23" ht="13" thickTop="1"/>
    <row r="27" spans="2:23" ht="13">
      <c r="B27" s="61" t="s">
        <v>31</v>
      </c>
      <c r="C27" s="62"/>
      <c r="D27" s="62"/>
      <c r="E27" s="62"/>
      <c r="F27" s="62"/>
      <c r="G27" s="62"/>
      <c r="H27" s="62"/>
      <c r="I27" s="62"/>
      <c r="J27" s="62"/>
      <c r="K27" s="62"/>
    </row>
    <row r="28" spans="2:23" ht="13.5" thickBot="1">
      <c r="B28" s="57" t="s">
        <v>28</v>
      </c>
      <c r="C28" s="57"/>
      <c r="D28" s="57"/>
      <c r="E28" s="57"/>
      <c r="F28" s="57"/>
      <c r="G28" s="57"/>
      <c r="H28" s="57"/>
      <c r="I28" s="57"/>
      <c r="J28" s="57"/>
      <c r="K28" s="57"/>
      <c r="Q28" s="16"/>
      <c r="R28" s="16"/>
      <c r="S28" s="16"/>
      <c r="T28" s="16"/>
      <c r="U28" s="16"/>
      <c r="V28" s="16"/>
      <c r="W28" s="16"/>
    </row>
    <row r="29" spans="2:23" ht="14" thickTop="1" thickBot="1">
      <c r="C29" s="58" t="s">
        <v>35</v>
      </c>
      <c r="D29" s="59"/>
      <c r="E29" s="60"/>
      <c r="G29" s="58" t="s">
        <v>19</v>
      </c>
      <c r="H29" s="59"/>
      <c r="I29" s="59"/>
      <c r="J29" s="60"/>
    </row>
    <row r="30" spans="2:23" ht="14" thickTop="1" thickBot="1">
      <c r="C30" s="8" t="s">
        <v>14</v>
      </c>
      <c r="D30" s="9" t="s">
        <v>15</v>
      </c>
      <c r="E30" s="10" t="s">
        <v>17</v>
      </c>
      <c r="G30" s="11"/>
      <c r="H30" s="27" t="str">
        <f>C30</f>
        <v>Anonymous</v>
      </c>
      <c r="I30" s="28" t="str">
        <f>D30</f>
        <v>Pseudonymous</v>
      </c>
      <c r="J30" s="29" t="str">
        <f>E30</f>
        <v>Non-Anonymous</v>
      </c>
    </row>
    <row r="31" spans="2:23" ht="13.5" thickTop="1">
      <c r="C31" s="33">
        <v>1</v>
      </c>
      <c r="D31" s="34">
        <v>2</v>
      </c>
      <c r="E31" s="35">
        <v>2</v>
      </c>
      <c r="F31" s="16"/>
      <c r="G31" s="22" t="s">
        <v>6</v>
      </c>
      <c r="H31" s="37">
        <f t="array" ref="H31">MIN(IF(ISBLANK(C31:C40),"",IF(C31:C40&gt;=H32-$C44*(H34-H32),C31:C40,"")))</f>
        <v>1</v>
      </c>
      <c r="I31" s="38">
        <f t="array" ref="I31">MIN(IF(ISBLANK(D31:D40),"",IF(D31:D40&gt;=I32-$C44*(I34-I32),D31:D40,"")))</f>
        <v>2</v>
      </c>
      <c r="J31" s="39">
        <f t="array" ref="J31">MIN(IF(ISBLANK(E31:E40),"",IF(E31:E40&gt;=J32-$C44*(J34-J32),E31:E40,"")))</f>
        <v>1</v>
      </c>
    </row>
    <row r="32" spans="2:23" ht="13">
      <c r="C32" s="33">
        <v>1</v>
      </c>
      <c r="D32" s="34">
        <v>2</v>
      </c>
      <c r="E32" s="35">
        <v>1</v>
      </c>
      <c r="G32" s="23" t="s">
        <v>7</v>
      </c>
      <c r="H32" s="40">
        <f>_xlfn.QUARTILE.INC(C31:C40,1)</f>
        <v>1</v>
      </c>
      <c r="I32" s="41">
        <f>_xlfn.QUARTILE.INC(D31:D40,1)</f>
        <v>2</v>
      </c>
      <c r="J32" s="42">
        <f>_xlfn.QUARTILE.INC(E31:E40,1)</f>
        <v>1</v>
      </c>
    </row>
    <row r="33" spans="2:25" ht="13">
      <c r="C33" s="33">
        <v>2</v>
      </c>
      <c r="D33" s="34">
        <v>2</v>
      </c>
      <c r="E33" s="35">
        <v>2</v>
      </c>
      <c r="G33" s="36" t="s">
        <v>8</v>
      </c>
      <c r="H33" s="43">
        <f>MEDIAN(C31:C40)</f>
        <v>1.5</v>
      </c>
      <c r="I33" s="44">
        <f>MEDIAN(D31:D40)</f>
        <v>2</v>
      </c>
      <c r="J33" s="45">
        <f>MEDIAN(E31:E40)</f>
        <v>1.5</v>
      </c>
    </row>
    <row r="34" spans="2:25" ht="13">
      <c r="C34" s="33">
        <v>2</v>
      </c>
      <c r="D34" s="34">
        <v>2</v>
      </c>
      <c r="E34" s="35">
        <v>1</v>
      </c>
      <c r="G34" s="23" t="s">
        <v>9</v>
      </c>
      <c r="H34" s="40">
        <f>_xlfn.QUARTILE.INC(C31:C40,3)</f>
        <v>2</v>
      </c>
      <c r="I34" s="41">
        <f>_xlfn.QUARTILE.INC(D31:D40,3)</f>
        <v>2</v>
      </c>
      <c r="J34" s="42">
        <f>_xlfn.QUARTILE.INC(E31:E40,3)</f>
        <v>2</v>
      </c>
    </row>
    <row r="35" spans="2:25" ht="13">
      <c r="C35" s="33">
        <v>1</v>
      </c>
      <c r="D35" s="34">
        <v>1</v>
      </c>
      <c r="E35" s="35">
        <v>3</v>
      </c>
      <c r="G35" s="23" t="s">
        <v>10</v>
      </c>
      <c r="H35" s="40">
        <f t="array" ref="H35">MAX(IF(ISBLANK(C31:C40),"",IF(C31:C40&lt;=H34+$C44*(H34-H32),C31:C40,"")))</f>
        <v>2</v>
      </c>
      <c r="I35" s="41">
        <f t="array" ref="I35">MAX(IF(ISBLANK(D31:D40),"",IF(D31:D40&lt;=I34+$C44*(I34-I32),D31:D40,"")))</f>
        <v>2</v>
      </c>
      <c r="J35" s="42">
        <f t="array" ref="J35">MAX(IF(ISBLANK(E31:E40),"",IF(E31:E40&lt;=J34+$C44*(J34-J32),E31:E40,"")))</f>
        <v>2</v>
      </c>
    </row>
    <row r="36" spans="2:25" ht="13">
      <c r="C36" s="33">
        <v>3</v>
      </c>
      <c r="D36" s="34">
        <v>2</v>
      </c>
      <c r="E36" s="35">
        <v>1</v>
      </c>
      <c r="G36" s="36" t="s">
        <v>0</v>
      </c>
      <c r="H36" s="43">
        <f>AVERAGE(C31:C40)</f>
        <v>1.6666666666666667</v>
      </c>
      <c r="I36" s="44">
        <f>AVERAGE(D31:D40)</f>
        <v>1.8333333333333333</v>
      </c>
      <c r="J36" s="45">
        <f>AVERAGE(E31:E40)</f>
        <v>1.6666666666666667</v>
      </c>
    </row>
    <row r="37" spans="2:25" ht="13.5" thickBot="1">
      <c r="C37" s="13"/>
      <c r="D37" s="14"/>
      <c r="E37" s="15"/>
      <c r="G37" s="24" t="s">
        <v>1</v>
      </c>
      <c r="H37" s="46">
        <f>VAR(C31:C40)</f>
        <v>0.66666666666666641</v>
      </c>
      <c r="I37" s="47">
        <f>VAR(D31:D40)</f>
        <v>0.16666666666666644</v>
      </c>
      <c r="J37" s="48">
        <f>VAR(E31:E40)</f>
        <v>0.66666666666666641</v>
      </c>
      <c r="Q37" s="16"/>
      <c r="R37" s="16"/>
      <c r="S37" s="16"/>
      <c r="T37" s="16"/>
      <c r="U37" s="16"/>
      <c r="V37" s="16"/>
      <c r="W37" s="16"/>
      <c r="X37" s="16"/>
      <c r="Y37" s="16"/>
    </row>
    <row r="38" spans="2:25" ht="13.5" thickTop="1" thickBot="1">
      <c r="C38" s="13"/>
      <c r="D38" s="14"/>
      <c r="E38" s="15"/>
      <c r="G38" s="56"/>
    </row>
    <row r="39" spans="2:25" ht="14" thickTop="1" thickBot="1">
      <c r="C39" s="13"/>
      <c r="D39" s="14"/>
      <c r="E39" s="15"/>
      <c r="G39" s="58" t="s">
        <v>20</v>
      </c>
      <c r="H39" s="59"/>
      <c r="I39" s="59"/>
      <c r="J39" s="59"/>
      <c r="K39" s="60"/>
    </row>
    <row r="40" spans="2:25" ht="14" thickTop="1" thickBot="1">
      <c r="C40" s="17"/>
      <c r="D40" s="18"/>
      <c r="E40" s="19"/>
      <c r="G40" s="11"/>
      <c r="H40" s="8" t="str">
        <f>C30</f>
        <v>Anonymous</v>
      </c>
      <c r="I40" s="9" t="str">
        <f>D30</f>
        <v>Pseudonymous</v>
      </c>
      <c r="J40" s="10" t="str">
        <f>E30</f>
        <v>Non-Anonymous</v>
      </c>
      <c r="K40" s="20"/>
    </row>
    <row r="41" spans="2:25" ht="14" thickTop="1" thickBot="1">
      <c r="B41" s="21"/>
      <c r="G41" s="22" t="s">
        <v>21</v>
      </c>
      <c r="H41" s="37">
        <f>[1]!RANK_SUM(C31:E40, 1,1)</f>
        <v>53.5</v>
      </c>
      <c r="I41" s="38">
        <f>[1]!RANK_SUM(C31:E40, 2,1)</f>
        <v>64</v>
      </c>
      <c r="J41" s="39">
        <f>[1]!RANK_SUM(C31:E40, 3,1)</f>
        <v>53.5</v>
      </c>
      <c r="K41" s="5" t="s">
        <v>26</v>
      </c>
    </row>
    <row r="42" spans="2:25" ht="13.5" thickTop="1">
      <c r="G42" s="23" t="s">
        <v>4</v>
      </c>
      <c r="H42" s="40">
        <f>COUNT(C31:C40)</f>
        <v>6</v>
      </c>
      <c r="I42" s="41">
        <f>COUNT(D31:D40)</f>
        <v>6</v>
      </c>
      <c r="J42" s="42">
        <f>COUNT(E31:E40)</f>
        <v>6</v>
      </c>
      <c r="K42" s="49">
        <f>SUM(H42:J42)</f>
        <v>18</v>
      </c>
    </row>
    <row r="43" spans="2:25" ht="15.5" thickBot="1">
      <c r="G43" s="24" t="s">
        <v>27</v>
      </c>
      <c r="H43" s="46">
        <f>H41^2/H42</f>
        <v>477.04166666666669</v>
      </c>
      <c r="I43" s="47">
        <f t="shared" ref="I43:J43" si="1">I41^2/I42</f>
        <v>682.66666666666663</v>
      </c>
      <c r="J43" s="48">
        <f t="shared" si="1"/>
        <v>477.04166666666669</v>
      </c>
      <c r="K43" s="50">
        <f>SUM(H43:J43)</f>
        <v>1636.75</v>
      </c>
      <c r="Q43" s="16"/>
      <c r="R43" s="16"/>
      <c r="S43" s="16"/>
      <c r="T43" s="16"/>
      <c r="U43" s="16"/>
      <c r="V43" s="16"/>
      <c r="W43" s="16"/>
      <c r="X43" s="16"/>
      <c r="Y43" s="16"/>
    </row>
    <row r="44" spans="2:25" ht="14" thickTop="1" thickBot="1">
      <c r="B44" s="21"/>
    </row>
    <row r="45" spans="2:25" ht="13.5" thickTop="1">
      <c r="G45" s="30" t="s">
        <v>24</v>
      </c>
      <c r="H45" s="51">
        <f>12*K43/(K42*(K42+1))-3*(K42+1)</f>
        <v>0.42982456140350678</v>
      </c>
      <c r="J45" s="21"/>
    </row>
    <row r="46" spans="2:25" ht="13">
      <c r="G46" s="31" t="s">
        <v>22</v>
      </c>
      <c r="H46" s="52">
        <f>H45/(1-[1]!TiesCorrection(C31:E40)/(27*(27^2-1)))</f>
        <v>0.45437407652723077</v>
      </c>
    </row>
    <row r="47" spans="2:25" ht="13">
      <c r="G47" s="31" t="s">
        <v>3</v>
      </c>
      <c r="H47" s="53">
        <f>COUNTA(H40:J40)-1</f>
        <v>2</v>
      </c>
    </row>
    <row r="48" spans="2:25" ht="13">
      <c r="G48" s="31" t="s">
        <v>2</v>
      </c>
      <c r="H48" s="54">
        <f>_xlfn.CHISQ.DIST.RT(H46,H47)</f>
        <v>0.79677174154937624</v>
      </c>
      <c r="L48" s="26"/>
      <c r="M48" s="26"/>
      <c r="N48" s="26"/>
    </row>
    <row r="49" spans="2:23" ht="13">
      <c r="G49" s="31" t="s">
        <v>25</v>
      </c>
      <c r="H49" s="52">
        <v>0.05</v>
      </c>
    </row>
    <row r="50" spans="2:23" ht="13.5" thickBot="1">
      <c r="G50" s="32" t="s">
        <v>23</v>
      </c>
      <c r="H50" s="55" t="str">
        <f>IF(H48&lt;H49,"Signficant","No significance")</f>
        <v>No significance</v>
      </c>
    </row>
    <row r="51" spans="2:23" ht="13.5" thickTop="1">
      <c r="Q51" s="16"/>
      <c r="R51" s="16"/>
      <c r="S51" s="16"/>
      <c r="T51" s="16"/>
      <c r="U51" s="16"/>
    </row>
    <row r="52" spans="2:23" ht="13">
      <c r="B52" s="61" t="s">
        <v>34</v>
      </c>
      <c r="C52" s="62"/>
      <c r="D52" s="62"/>
      <c r="E52" s="62"/>
      <c r="F52" s="62"/>
      <c r="G52" s="62"/>
      <c r="H52" s="62"/>
      <c r="I52" s="62"/>
      <c r="J52" s="62"/>
      <c r="K52" s="62"/>
    </row>
    <row r="53" spans="2:23" ht="13" thickBot="1">
      <c r="B53" s="57" t="s">
        <v>28</v>
      </c>
      <c r="C53" s="57"/>
      <c r="D53" s="57"/>
      <c r="E53" s="57"/>
      <c r="F53" s="57"/>
      <c r="G53" s="57"/>
      <c r="H53" s="57"/>
      <c r="I53" s="57"/>
      <c r="J53" s="57"/>
      <c r="K53" s="57"/>
    </row>
    <row r="54" spans="2:23" ht="14" thickTop="1" thickBot="1">
      <c r="C54" s="58" t="s">
        <v>36</v>
      </c>
      <c r="D54" s="59"/>
      <c r="E54" s="60"/>
      <c r="G54" s="58" t="s">
        <v>19</v>
      </c>
      <c r="H54" s="59"/>
      <c r="I54" s="59"/>
      <c r="J54" s="60"/>
    </row>
    <row r="55" spans="2:23" ht="14" thickTop="1" thickBot="1">
      <c r="C55" s="8" t="s">
        <v>14</v>
      </c>
      <c r="D55" s="9" t="s">
        <v>15</v>
      </c>
      <c r="E55" s="10" t="s">
        <v>17</v>
      </c>
      <c r="G55" s="11"/>
      <c r="H55" s="27" t="str">
        <f>C55</f>
        <v>Anonymous</v>
      </c>
      <c r="I55" s="28" t="str">
        <f>D55</f>
        <v>Pseudonymous</v>
      </c>
      <c r="J55" s="29" t="str">
        <f>E55</f>
        <v>Non-Anonymous</v>
      </c>
    </row>
    <row r="56" spans="2:23" ht="13.5" thickTop="1">
      <c r="C56" s="33">
        <v>2</v>
      </c>
      <c r="D56" s="34">
        <v>1</v>
      </c>
      <c r="E56" s="35">
        <v>3</v>
      </c>
      <c r="F56" s="16"/>
      <c r="G56" s="22" t="s">
        <v>6</v>
      </c>
      <c r="H56" s="37">
        <f t="array" ref="H56">MIN(IF(ISBLANK(C56:C65),"",IF(C56:C65&gt;=H57-$C69*(H59-H57),C56:C65,"")))</f>
        <v>2</v>
      </c>
      <c r="I56" s="38">
        <f t="array" ref="I56">MIN(IF(ISBLANK(D56:D65),"",IF(D56:D65&gt;=I57-$C69*(I59-I57),D56:D65,"")))</f>
        <v>1</v>
      </c>
      <c r="J56" s="39">
        <f t="array" ref="J56">MIN(IF(ISBLANK(E56:E65),"",IF(E56:E65&gt;=J57-$C69*(J59-J57),E56:E65,"")))</f>
        <v>1</v>
      </c>
    </row>
    <row r="57" spans="2:23" ht="13">
      <c r="C57" s="33">
        <v>3</v>
      </c>
      <c r="D57" s="34">
        <v>2</v>
      </c>
      <c r="E57" s="35">
        <v>3</v>
      </c>
      <c r="G57" s="23" t="s">
        <v>7</v>
      </c>
      <c r="H57" s="40">
        <f>_xlfn.QUARTILE.INC(C56:C65,1)</f>
        <v>1.25</v>
      </c>
      <c r="I57" s="41">
        <f>_xlfn.QUARTILE.INC(D56:D65,1)</f>
        <v>1</v>
      </c>
      <c r="J57" s="42">
        <f>_xlfn.QUARTILE.INC(E56:E65,1)</f>
        <v>1</v>
      </c>
    </row>
    <row r="58" spans="2:23" ht="13">
      <c r="C58" s="33">
        <v>1</v>
      </c>
      <c r="D58" s="34">
        <v>1</v>
      </c>
      <c r="E58" s="35">
        <v>1</v>
      </c>
      <c r="G58" s="36" t="s">
        <v>8</v>
      </c>
      <c r="H58" s="43">
        <f>MEDIAN(C56:C65)</f>
        <v>2</v>
      </c>
      <c r="I58" s="44">
        <f>MEDIAN(D56:D65)</f>
        <v>1</v>
      </c>
      <c r="J58" s="45">
        <f>MEDIAN(E56:E65)</f>
        <v>2</v>
      </c>
      <c r="Q58" s="16"/>
      <c r="R58" s="16"/>
      <c r="S58" s="16"/>
      <c r="T58" s="16"/>
      <c r="U58" s="16"/>
      <c r="V58" s="16"/>
      <c r="W58" s="16"/>
    </row>
    <row r="59" spans="2:23" ht="13">
      <c r="C59" s="33">
        <v>1</v>
      </c>
      <c r="D59" s="34">
        <v>1</v>
      </c>
      <c r="E59" s="35">
        <v>3</v>
      </c>
      <c r="G59" s="23" t="s">
        <v>9</v>
      </c>
      <c r="H59" s="40">
        <f>_xlfn.QUARTILE.INC(C56:C65,3)</f>
        <v>2.75</v>
      </c>
      <c r="I59" s="41">
        <f>_xlfn.QUARTILE.INC(D56:D65,3)</f>
        <v>1.75</v>
      </c>
      <c r="J59" s="42">
        <f>_xlfn.QUARTILE.INC(E56:E65,3)</f>
        <v>3</v>
      </c>
    </row>
    <row r="60" spans="2:23" ht="13">
      <c r="C60" s="33">
        <v>4</v>
      </c>
      <c r="D60" s="34">
        <v>1</v>
      </c>
      <c r="E60" s="35">
        <v>1</v>
      </c>
      <c r="G60" s="23" t="s">
        <v>10</v>
      </c>
      <c r="H60" s="40">
        <f t="array" ref="H60">MAX(IF(ISBLANK(C56:C65),"",IF(C56:C65&lt;=H59+$C69*(H59-H57),C56:C65,"")))</f>
        <v>2</v>
      </c>
      <c r="I60" s="41">
        <f t="array" ref="I60">MAX(IF(ISBLANK(D56:D65),"",IF(D56:D65&lt;=I59+$C69*(I59-I57),D56:D65,"")))</f>
        <v>1</v>
      </c>
      <c r="J60" s="42">
        <f t="array" ref="J60">MAX(IF(ISBLANK(E56:E65),"",IF(E56:E65&lt;=J59+$C69*(J59-J57),E56:E65,"")))</f>
        <v>3</v>
      </c>
    </row>
    <row r="61" spans="2:23" ht="13">
      <c r="C61" s="33">
        <v>2</v>
      </c>
      <c r="D61" s="34">
        <v>4</v>
      </c>
      <c r="E61" s="35">
        <v>1</v>
      </c>
      <c r="G61" s="36" t="s">
        <v>0</v>
      </c>
      <c r="H61" s="43">
        <f>AVERAGE(C56:C65)</f>
        <v>2.1666666666666665</v>
      </c>
      <c r="I61" s="44">
        <f>AVERAGE(D56:D65)</f>
        <v>1.6666666666666667</v>
      </c>
      <c r="J61" s="45">
        <f>AVERAGE(E56:E65)</f>
        <v>2</v>
      </c>
    </row>
    <row r="62" spans="2:23" ht="13.5" thickBot="1">
      <c r="C62" s="13"/>
      <c r="D62" s="14"/>
      <c r="E62" s="15"/>
      <c r="G62" s="24" t="s">
        <v>1</v>
      </c>
      <c r="H62" s="46">
        <f>VAR(C56:C65)</f>
        <v>1.3666666666666665</v>
      </c>
      <c r="I62" s="47">
        <f>VAR(D56:D65)</f>
        <v>1.4666666666666663</v>
      </c>
      <c r="J62" s="48">
        <f>VAR(E56:E65)</f>
        <v>1.2</v>
      </c>
    </row>
    <row r="63" spans="2:23" ht="13.5" thickTop="1" thickBot="1">
      <c r="C63" s="13"/>
      <c r="D63" s="14"/>
      <c r="E63" s="15"/>
      <c r="G63" s="56"/>
    </row>
    <row r="64" spans="2:23" ht="14" thickTop="1" thickBot="1">
      <c r="C64" s="13"/>
      <c r="D64" s="14"/>
      <c r="E64" s="15"/>
      <c r="G64" s="58" t="s">
        <v>20</v>
      </c>
      <c r="H64" s="59"/>
      <c r="I64" s="59"/>
      <c r="J64" s="59"/>
      <c r="K64" s="60"/>
    </row>
    <row r="65" spans="2:11" ht="14" thickTop="1" thickBot="1">
      <c r="C65" s="17"/>
      <c r="D65" s="18"/>
      <c r="E65" s="19"/>
      <c r="G65" s="11"/>
      <c r="H65" s="8" t="str">
        <f>C55</f>
        <v>Anonymous</v>
      </c>
      <c r="I65" s="9" t="str">
        <f>D55</f>
        <v>Pseudonymous</v>
      </c>
      <c r="J65" s="10" t="str">
        <f>E55</f>
        <v>Non-Anonymous</v>
      </c>
      <c r="K65" s="20"/>
    </row>
    <row r="66" spans="2:11" ht="14" thickTop="1" thickBot="1">
      <c r="B66" s="21"/>
      <c r="G66" s="22" t="s">
        <v>21</v>
      </c>
      <c r="H66" s="37">
        <f>[1]!RANK_SUM(C56:E65, 1,1)</f>
        <v>64</v>
      </c>
      <c r="I66" s="38">
        <f>[1]!RANK_SUM(C56:E65, 2,1)</f>
        <v>48.5</v>
      </c>
      <c r="J66" s="39">
        <f>[1]!RANK_SUM(C56:E65, 3,1)</f>
        <v>58.5</v>
      </c>
      <c r="K66" s="5" t="s">
        <v>26</v>
      </c>
    </row>
    <row r="67" spans="2:11" ht="13.5" thickTop="1">
      <c r="G67" s="23" t="s">
        <v>4</v>
      </c>
      <c r="H67" s="40">
        <f>COUNT(C56:C65)</f>
        <v>6</v>
      </c>
      <c r="I67" s="41">
        <f>COUNT(D56:D65)</f>
        <v>6</v>
      </c>
      <c r="J67" s="42">
        <f>COUNT(E56:E65)</f>
        <v>6</v>
      </c>
      <c r="K67" s="49">
        <f>SUM(H67:J67)</f>
        <v>18</v>
      </c>
    </row>
    <row r="68" spans="2:11" ht="15.5" thickBot="1">
      <c r="G68" s="24" t="s">
        <v>27</v>
      </c>
      <c r="H68" s="46">
        <f>H66^2/H67</f>
        <v>682.66666666666663</v>
      </c>
      <c r="I68" s="47">
        <f t="shared" ref="I68:J68" si="2">I66^2/I67</f>
        <v>392.04166666666669</v>
      </c>
      <c r="J68" s="48">
        <f t="shared" si="2"/>
        <v>570.375</v>
      </c>
      <c r="K68" s="50">
        <f>SUM(H68:J68)</f>
        <v>1645.0833333333333</v>
      </c>
    </row>
    <row r="69" spans="2:11" ht="14" thickTop="1" thickBot="1">
      <c r="B69" s="21"/>
    </row>
    <row r="70" spans="2:11" ht="13.5" thickTop="1">
      <c r="G70" s="30" t="s">
        <v>24</v>
      </c>
      <c r="H70" s="51">
        <f>12*K68/(K67*(K67+1))-3*(K67+1)</f>
        <v>0.72222222222222143</v>
      </c>
      <c r="J70" s="21"/>
    </row>
    <row r="71" spans="2:11" ht="13">
      <c r="G71" s="31" t="s">
        <v>22</v>
      </c>
      <c r="H71" s="52">
        <f>H70/(1-[1]!TiesCorrection(C56:E65)/(27*(27^2-1)))</f>
        <v>0.75326329194523955</v>
      </c>
    </row>
    <row r="72" spans="2:11" ht="13">
      <c r="G72" s="31" t="s">
        <v>3</v>
      </c>
      <c r="H72" s="53">
        <f>COUNTA(H65:J65)-1</f>
        <v>2</v>
      </c>
    </row>
    <row r="73" spans="2:11" ht="13">
      <c r="G73" s="31" t="s">
        <v>2</v>
      </c>
      <c r="H73" s="54">
        <f>_xlfn.CHISQ.DIST.RT(H71,H72)</f>
        <v>0.68616878038415352</v>
      </c>
    </row>
    <row r="74" spans="2:11" ht="13">
      <c r="G74" s="31" t="s">
        <v>25</v>
      </c>
      <c r="H74" s="52">
        <v>0.05</v>
      </c>
    </row>
    <row r="75" spans="2:11" ht="13.5" thickBot="1">
      <c r="G75" s="32" t="s">
        <v>23</v>
      </c>
      <c r="H75" s="55" t="str">
        <f>IF(H73&lt;H74,"Signficant","No significance")</f>
        <v>No significance</v>
      </c>
    </row>
    <row r="76" spans="2:11" ht="13" thickTop="1"/>
    <row r="77" spans="2:11" ht="13">
      <c r="B77" s="61" t="s">
        <v>33</v>
      </c>
      <c r="C77" s="62"/>
      <c r="D77" s="62"/>
      <c r="E77" s="62"/>
      <c r="F77" s="62"/>
      <c r="G77" s="62"/>
      <c r="H77" s="62"/>
      <c r="I77" s="62"/>
      <c r="J77" s="62"/>
      <c r="K77" s="62"/>
    </row>
    <row r="78" spans="2:11" ht="13" thickBot="1">
      <c r="B78" s="57" t="s">
        <v>28</v>
      </c>
      <c r="C78" s="57"/>
      <c r="D78" s="57"/>
      <c r="E78" s="57"/>
      <c r="F78" s="57"/>
      <c r="G78" s="57"/>
      <c r="H78" s="57"/>
      <c r="I78" s="57"/>
      <c r="J78" s="57"/>
      <c r="K78" s="57"/>
    </row>
    <row r="79" spans="2:11" ht="14" thickTop="1" thickBot="1">
      <c r="C79" s="58" t="s">
        <v>37</v>
      </c>
      <c r="D79" s="59"/>
      <c r="E79" s="60"/>
      <c r="G79" s="58" t="s">
        <v>19</v>
      </c>
      <c r="H79" s="59"/>
      <c r="I79" s="59"/>
      <c r="J79" s="60"/>
    </row>
    <row r="80" spans="2:11" ht="14" thickTop="1" thickBot="1">
      <c r="C80" s="8" t="s">
        <v>14</v>
      </c>
      <c r="D80" s="9" t="s">
        <v>15</v>
      </c>
      <c r="E80" s="10" t="s">
        <v>17</v>
      </c>
      <c r="G80" s="11"/>
      <c r="H80" s="27" t="str">
        <f>C80</f>
        <v>Anonymous</v>
      </c>
      <c r="I80" s="28" t="str">
        <f>D80</f>
        <v>Pseudonymous</v>
      </c>
      <c r="J80" s="29" t="str">
        <f>E80</f>
        <v>Non-Anonymous</v>
      </c>
    </row>
    <row r="81" spans="2:11" ht="13.5" thickTop="1">
      <c r="C81" s="33">
        <v>3</v>
      </c>
      <c r="D81" s="34">
        <v>4</v>
      </c>
      <c r="E81" s="35">
        <v>2</v>
      </c>
      <c r="F81" s="16"/>
      <c r="G81" s="22" t="s">
        <v>6</v>
      </c>
      <c r="H81" s="37">
        <f t="array" ref="H81">MIN(IF(ISBLANK(C81:C90),"",IF(C81:C90&gt;=H82-$C94*(H84-H82),C81:C90,"")))</f>
        <v>3</v>
      </c>
      <c r="I81" s="38">
        <f t="array" ref="I81">MIN(IF(ISBLANK(D81:D90),"",IF(D81:D90&gt;=I82-$C94*(I84-I82),D81:D90,"")))</f>
        <v>3</v>
      </c>
      <c r="J81" s="39">
        <f t="array" ref="J81">MIN(IF(ISBLANK(E81:E90),"",IF(E81:E90&gt;=J82-$C94*(J84-J82),E81:E90,"")))</f>
        <v>3</v>
      </c>
    </row>
    <row r="82" spans="2:11" ht="13">
      <c r="C82" s="33">
        <v>3</v>
      </c>
      <c r="D82" s="34">
        <v>3</v>
      </c>
      <c r="E82" s="35">
        <v>3</v>
      </c>
      <c r="G82" s="23" t="s">
        <v>7</v>
      </c>
      <c r="H82" s="40">
        <f>_xlfn.QUARTILE.INC(C81:C90,1)</f>
        <v>3</v>
      </c>
      <c r="I82" s="41">
        <f>_xlfn.QUARTILE.INC(D81:D90,1)</f>
        <v>3</v>
      </c>
      <c r="J82" s="42">
        <f>_xlfn.QUARTILE.INC(E81:E90,1)</f>
        <v>2.25</v>
      </c>
    </row>
    <row r="83" spans="2:11" ht="13">
      <c r="C83" s="33">
        <v>2</v>
      </c>
      <c r="D83" s="34">
        <v>3</v>
      </c>
      <c r="E83" s="35">
        <v>2</v>
      </c>
      <c r="G83" s="36" t="s">
        <v>8</v>
      </c>
      <c r="H83" s="43">
        <f>MEDIAN(C81:C90)</f>
        <v>3</v>
      </c>
      <c r="I83" s="44">
        <f>MEDIAN(D81:D90)</f>
        <v>3</v>
      </c>
      <c r="J83" s="45">
        <f>MEDIAN(E81:E90)</f>
        <v>3</v>
      </c>
    </row>
    <row r="84" spans="2:11" ht="13">
      <c r="C84" s="33">
        <v>4</v>
      </c>
      <c r="D84" s="34">
        <v>2</v>
      </c>
      <c r="E84" s="35">
        <v>3</v>
      </c>
      <c r="G84" s="23" t="s">
        <v>9</v>
      </c>
      <c r="H84" s="40">
        <f>_xlfn.QUARTILE.INC(C81:C90,3)</f>
        <v>3.75</v>
      </c>
      <c r="I84" s="41">
        <f>_xlfn.QUARTILE.INC(D81:D90,3)</f>
        <v>3</v>
      </c>
      <c r="J84" s="42">
        <f>_xlfn.QUARTILE.INC(E81:E90,3)</f>
        <v>3</v>
      </c>
    </row>
    <row r="85" spans="2:11" ht="13">
      <c r="C85" s="33">
        <v>4</v>
      </c>
      <c r="D85" s="34">
        <v>3</v>
      </c>
      <c r="E85" s="35">
        <v>3</v>
      </c>
      <c r="G85" s="23" t="s">
        <v>10</v>
      </c>
      <c r="H85" s="40">
        <f t="array" ref="H85">MAX(IF(ISBLANK(C81:C90),"",IF(C81:C90&lt;=H84+$C94*(H84-H82),C81:C90,"")))</f>
        <v>3</v>
      </c>
      <c r="I85" s="41">
        <f t="array" ref="I85">MAX(IF(ISBLANK(D81:D90),"",IF(D81:D90&lt;=I84+$C94*(I84-I82),D81:D90,"")))</f>
        <v>3</v>
      </c>
      <c r="J85" s="42">
        <f t="array" ref="J85">MAX(IF(ISBLANK(E81:E90),"",IF(E81:E90&lt;=J84+$C94*(J84-J82),E81:E90,"")))</f>
        <v>3</v>
      </c>
    </row>
    <row r="86" spans="2:11" ht="13">
      <c r="C86" s="33">
        <v>3</v>
      </c>
      <c r="D86" s="34">
        <v>3</v>
      </c>
      <c r="E86" s="35">
        <v>3</v>
      </c>
      <c r="G86" s="36" t="s">
        <v>0</v>
      </c>
      <c r="H86" s="43">
        <f>AVERAGE(C81:C90)</f>
        <v>3.1666666666666665</v>
      </c>
      <c r="I86" s="44">
        <f>AVERAGE(D81:D90)</f>
        <v>3</v>
      </c>
      <c r="J86" s="45">
        <f>AVERAGE(E81:E90)</f>
        <v>2.6666666666666665</v>
      </c>
    </row>
    <row r="87" spans="2:11" ht="13.5" thickBot="1">
      <c r="C87" s="13"/>
      <c r="D87" s="14"/>
      <c r="E87" s="15"/>
      <c r="G87" s="24" t="s">
        <v>1</v>
      </c>
      <c r="H87" s="46">
        <f>VAR(C81:C90)</f>
        <v>0.5666666666666671</v>
      </c>
      <c r="I87" s="47">
        <f>VAR(D81:D90)</f>
        <v>0.4</v>
      </c>
      <c r="J87" s="48">
        <f>VAR(E81:E90)</f>
        <v>0.26666666666666716</v>
      </c>
    </row>
    <row r="88" spans="2:11" ht="13.5" thickTop="1" thickBot="1">
      <c r="C88" s="13"/>
      <c r="D88" s="14"/>
      <c r="E88" s="15"/>
      <c r="G88" s="56"/>
    </row>
    <row r="89" spans="2:11" ht="14" thickTop="1" thickBot="1">
      <c r="C89" s="13"/>
      <c r="D89" s="14"/>
      <c r="E89" s="15"/>
      <c r="G89" s="58" t="s">
        <v>20</v>
      </c>
      <c r="H89" s="59"/>
      <c r="I89" s="59"/>
      <c r="J89" s="59"/>
      <c r="K89" s="60"/>
    </row>
    <row r="90" spans="2:11" ht="14" thickTop="1" thickBot="1">
      <c r="C90" s="17"/>
      <c r="D90" s="18"/>
      <c r="E90" s="19"/>
      <c r="G90" s="11"/>
      <c r="H90" s="8" t="str">
        <f>C80</f>
        <v>Anonymous</v>
      </c>
      <c r="I90" s="9" t="str">
        <f>D80</f>
        <v>Pseudonymous</v>
      </c>
      <c r="J90" s="10" t="str">
        <f>E80</f>
        <v>Non-Anonymous</v>
      </c>
      <c r="K90" s="20"/>
    </row>
    <row r="91" spans="2:11" ht="14" thickTop="1" thickBot="1">
      <c r="B91" s="21"/>
      <c r="G91" s="22" t="s">
        <v>21</v>
      </c>
      <c r="H91" s="37">
        <f>[1]!RANK_SUM(C81:E90, 1,1)</f>
        <v>66.5</v>
      </c>
      <c r="I91" s="38">
        <f>[1]!RANK_SUM(C81:E90, 2,1)</f>
        <v>59.5</v>
      </c>
      <c r="J91" s="39">
        <f>[1]!RANK_SUM(C81:E90, 3,1)</f>
        <v>45</v>
      </c>
      <c r="K91" s="5" t="s">
        <v>26</v>
      </c>
    </row>
    <row r="92" spans="2:11" ht="13.5" thickTop="1">
      <c r="G92" s="23" t="s">
        <v>4</v>
      </c>
      <c r="H92" s="40">
        <f>COUNT(C81:C90)</f>
        <v>6</v>
      </c>
      <c r="I92" s="41">
        <f>COUNT(D81:D90)</f>
        <v>6</v>
      </c>
      <c r="J92" s="42">
        <f>COUNT(E81:E90)</f>
        <v>6</v>
      </c>
      <c r="K92" s="49">
        <f>SUM(H92:J92)</f>
        <v>18</v>
      </c>
    </row>
    <row r="93" spans="2:11" ht="15.5" thickBot="1">
      <c r="G93" s="24" t="s">
        <v>27</v>
      </c>
      <c r="H93" s="46">
        <f>H91^2/H92</f>
        <v>737.04166666666663</v>
      </c>
      <c r="I93" s="47">
        <f t="shared" ref="I93:J93" si="3">I91^2/I92</f>
        <v>590.04166666666663</v>
      </c>
      <c r="J93" s="48">
        <f t="shared" si="3"/>
        <v>337.5</v>
      </c>
      <c r="K93" s="50">
        <f>SUM(H93:J93)</f>
        <v>1664.5833333333333</v>
      </c>
    </row>
    <row r="94" spans="2:11" ht="14" thickTop="1" thickBot="1">
      <c r="B94" s="21"/>
    </row>
    <row r="95" spans="2:11" ht="13.5" thickTop="1">
      <c r="G95" s="30" t="s">
        <v>24</v>
      </c>
      <c r="H95" s="51">
        <f>12*K93/(K92*(K92+1))-3*(K92+1)</f>
        <v>1.406432748538009</v>
      </c>
      <c r="J95" s="21"/>
    </row>
    <row r="96" spans="2:11" ht="13">
      <c r="G96" s="31" t="s">
        <v>22</v>
      </c>
      <c r="H96" s="52">
        <f>H95/(1-[1]!TiesCorrection(C81:E90)/(27*(27^2-1)))</f>
        <v>1.5146198830409328</v>
      </c>
    </row>
    <row r="97" spans="2:11" ht="13">
      <c r="G97" s="31" t="s">
        <v>3</v>
      </c>
      <c r="H97" s="53">
        <f>COUNTA(H90:J90)-1</f>
        <v>2</v>
      </c>
    </row>
    <row r="98" spans="2:11" ht="13">
      <c r="G98" s="31" t="s">
        <v>2</v>
      </c>
      <c r="H98" s="54">
        <f>_xlfn.CHISQ.DIST.RT(H96,H97)</f>
        <v>0.46892617067988229</v>
      </c>
    </row>
    <row r="99" spans="2:11" ht="13">
      <c r="G99" s="31" t="s">
        <v>25</v>
      </c>
      <c r="H99" s="52">
        <v>0.05</v>
      </c>
    </row>
    <row r="100" spans="2:11" ht="13.5" thickBot="1">
      <c r="G100" s="32" t="s">
        <v>23</v>
      </c>
      <c r="H100" s="55" t="str">
        <f>IF(H98&lt;H99,"Signficant","No significance")</f>
        <v>No significance</v>
      </c>
    </row>
    <row r="101" spans="2:11" ht="13" thickTop="1"/>
    <row r="102" spans="2:11" ht="13">
      <c r="B102" s="61" t="s">
        <v>32</v>
      </c>
      <c r="C102" s="62"/>
      <c r="D102" s="62"/>
      <c r="E102" s="62"/>
      <c r="F102" s="62"/>
      <c r="G102" s="62"/>
      <c r="H102" s="62"/>
      <c r="I102" s="62"/>
      <c r="J102" s="62"/>
      <c r="K102" s="62"/>
    </row>
    <row r="103" spans="2:11" ht="13" thickBot="1">
      <c r="B103" s="57" t="s">
        <v>28</v>
      </c>
      <c r="C103" s="57"/>
      <c r="D103" s="57"/>
      <c r="E103" s="57"/>
      <c r="F103" s="57"/>
      <c r="G103" s="57"/>
      <c r="H103" s="57"/>
      <c r="I103" s="57"/>
      <c r="J103" s="57"/>
      <c r="K103" s="57"/>
    </row>
    <row r="104" spans="2:11" ht="14" thickTop="1" thickBot="1">
      <c r="C104" s="58" t="s">
        <v>38</v>
      </c>
      <c r="D104" s="59"/>
      <c r="E104" s="60"/>
      <c r="G104" s="58" t="s">
        <v>19</v>
      </c>
      <c r="H104" s="59"/>
      <c r="I104" s="59"/>
      <c r="J104" s="60"/>
    </row>
    <row r="105" spans="2:11" ht="14" thickTop="1" thickBot="1">
      <c r="C105" s="8" t="s">
        <v>14</v>
      </c>
      <c r="D105" s="9" t="s">
        <v>15</v>
      </c>
      <c r="E105" s="10" t="s">
        <v>17</v>
      </c>
      <c r="G105" s="11"/>
      <c r="H105" s="27" t="str">
        <f>C105</f>
        <v>Anonymous</v>
      </c>
      <c r="I105" s="28" t="str">
        <f>D105</f>
        <v>Pseudonymous</v>
      </c>
      <c r="J105" s="29" t="str">
        <f>E105</f>
        <v>Non-Anonymous</v>
      </c>
    </row>
    <row r="106" spans="2:11" ht="13.5" thickTop="1">
      <c r="C106" s="33">
        <v>1</v>
      </c>
      <c r="D106" s="34">
        <v>2</v>
      </c>
      <c r="E106" s="35">
        <v>1</v>
      </c>
      <c r="F106" s="16"/>
      <c r="G106" s="22" t="s">
        <v>6</v>
      </c>
      <c r="H106" s="37">
        <f t="array" ref="H106">MIN(IF(ISBLANK(C106:C115),"",IF(C106:C115&gt;=H107-$C119*(H109-H107),C106:C115,"")))</f>
        <v>1</v>
      </c>
      <c r="I106" s="38">
        <f t="array" ref="I106">MIN(IF(ISBLANK(D106:D115),"",IF(D106:D115&gt;=I107-$C119*(I109-I107),D106:D115,"")))</f>
        <v>1</v>
      </c>
      <c r="J106" s="39">
        <f t="array" ref="J106">MIN(IF(ISBLANK(E106:E115),"",IF(E106:E115&gt;=J107-$C119*(J109-J107),E106:E115,"")))</f>
        <v>1</v>
      </c>
    </row>
    <row r="107" spans="2:11" ht="13">
      <c r="C107" s="33">
        <v>1</v>
      </c>
      <c r="D107" s="34">
        <v>1</v>
      </c>
      <c r="E107" s="35">
        <v>1</v>
      </c>
      <c r="G107" s="23" t="s">
        <v>7</v>
      </c>
      <c r="H107" s="40">
        <f>_xlfn.QUARTILE.INC(C106:C115,1)</f>
        <v>1</v>
      </c>
      <c r="I107" s="41">
        <f>_xlfn.QUARTILE.INC(D106:D115,1)</f>
        <v>1</v>
      </c>
      <c r="J107" s="42">
        <f>_xlfn.QUARTILE.INC(E106:E115,1)</f>
        <v>1</v>
      </c>
    </row>
    <row r="108" spans="2:11" ht="13">
      <c r="C108" s="33">
        <v>1</v>
      </c>
      <c r="D108" s="34">
        <v>1</v>
      </c>
      <c r="E108" s="35">
        <v>1</v>
      </c>
      <c r="G108" s="36" t="s">
        <v>8</v>
      </c>
      <c r="H108" s="43">
        <f>MEDIAN(C106:C115)</f>
        <v>1</v>
      </c>
      <c r="I108" s="44">
        <f>MEDIAN(D106:D115)</f>
        <v>1</v>
      </c>
      <c r="J108" s="45">
        <f>MEDIAN(E106:E115)</f>
        <v>1</v>
      </c>
    </row>
    <row r="109" spans="2:11" ht="13">
      <c r="C109" s="33">
        <v>1</v>
      </c>
      <c r="D109" s="34">
        <v>1</v>
      </c>
      <c r="E109" s="35">
        <v>1</v>
      </c>
      <c r="G109" s="23" t="s">
        <v>9</v>
      </c>
      <c r="H109" s="40">
        <f>_xlfn.QUARTILE.INC(C106:C115,3)</f>
        <v>1</v>
      </c>
      <c r="I109" s="41">
        <f>_xlfn.QUARTILE.INC(D106:D115,3)</f>
        <v>1.75</v>
      </c>
      <c r="J109" s="42">
        <f>_xlfn.QUARTILE.INC(E106:E115,3)</f>
        <v>1</v>
      </c>
    </row>
    <row r="110" spans="2:11" ht="13">
      <c r="C110" s="33">
        <v>1</v>
      </c>
      <c r="D110" s="34">
        <v>1</v>
      </c>
      <c r="E110" s="35">
        <v>1</v>
      </c>
      <c r="G110" s="23" t="s">
        <v>10</v>
      </c>
      <c r="H110" s="40">
        <f t="array" ref="H110">MAX(IF(ISBLANK(C106:C115),"",IF(C106:C115&lt;=H109+$C119*(H109-H107),C106:C115,"")))</f>
        <v>1</v>
      </c>
      <c r="I110" s="41">
        <f t="array" ref="I110">MAX(IF(ISBLANK(D106:D115),"",IF(D106:D115&lt;=I109+$C119*(I109-I107),D106:D115,"")))</f>
        <v>1</v>
      </c>
      <c r="J110" s="42">
        <f t="array" ref="J110">MAX(IF(ISBLANK(E106:E115),"",IF(E106:E115&lt;=J109+$C119*(J109-J107),E106:E115,"")))</f>
        <v>1</v>
      </c>
    </row>
    <row r="111" spans="2:11" ht="13">
      <c r="C111" s="33">
        <v>1</v>
      </c>
      <c r="D111" s="34">
        <v>3</v>
      </c>
      <c r="E111" s="35">
        <v>1</v>
      </c>
      <c r="G111" s="36" t="s">
        <v>0</v>
      </c>
      <c r="H111" s="43">
        <f>AVERAGE(C106:C115)</f>
        <v>1</v>
      </c>
      <c r="I111" s="44">
        <f>AVERAGE(D106:D115)</f>
        <v>1.5</v>
      </c>
      <c r="J111" s="45">
        <f>AVERAGE(E106:E115)</f>
        <v>1</v>
      </c>
    </row>
    <row r="112" spans="2:11" ht="13.5" thickBot="1">
      <c r="C112" s="13"/>
      <c r="D112" s="14"/>
      <c r="E112" s="15"/>
      <c r="G112" s="24" t="s">
        <v>1</v>
      </c>
      <c r="H112" s="46">
        <f>VAR(C106:C115)</f>
        <v>0</v>
      </c>
      <c r="I112" s="47">
        <f>VAR(D106:D115)</f>
        <v>0.7</v>
      </c>
      <c r="J112" s="48">
        <f>VAR(E106:E115)</f>
        <v>0</v>
      </c>
    </row>
    <row r="113" spans="2:11" ht="13.5" thickTop="1" thickBot="1">
      <c r="C113" s="13"/>
      <c r="D113" s="14"/>
      <c r="E113" s="15"/>
      <c r="G113" s="56"/>
    </row>
    <row r="114" spans="2:11" ht="14" thickTop="1" thickBot="1">
      <c r="C114" s="13"/>
      <c r="D114" s="14"/>
      <c r="E114" s="15"/>
      <c r="G114" s="58" t="s">
        <v>20</v>
      </c>
      <c r="H114" s="59"/>
      <c r="I114" s="59"/>
      <c r="J114" s="59"/>
      <c r="K114" s="60"/>
    </row>
    <row r="115" spans="2:11" ht="14" thickTop="1" thickBot="1">
      <c r="C115" s="17"/>
      <c r="D115" s="18"/>
      <c r="E115" s="19"/>
      <c r="G115" s="11"/>
      <c r="H115" s="8" t="str">
        <f>C105</f>
        <v>Anonymous</v>
      </c>
      <c r="I115" s="9" t="str">
        <f>D105</f>
        <v>Pseudonymous</v>
      </c>
      <c r="J115" s="10" t="str">
        <f>E105</f>
        <v>Non-Anonymous</v>
      </c>
      <c r="K115" s="20"/>
    </row>
    <row r="116" spans="2:11" ht="14" thickTop="1" thickBot="1">
      <c r="B116" s="21"/>
      <c r="G116" s="22" t="s">
        <v>21</v>
      </c>
      <c r="H116" s="37">
        <f>[1]!RANK_SUM(C106:E115, 1,1)</f>
        <v>51</v>
      </c>
      <c r="I116" s="38">
        <f>[1]!RANK_SUM(C106:E115, 2,1)</f>
        <v>69</v>
      </c>
      <c r="J116" s="39">
        <f>[1]!RANK_SUM(C106:E115, 3,1)</f>
        <v>51</v>
      </c>
      <c r="K116" s="5" t="s">
        <v>26</v>
      </c>
    </row>
    <row r="117" spans="2:11" ht="13.5" thickTop="1">
      <c r="G117" s="23" t="s">
        <v>4</v>
      </c>
      <c r="H117" s="40">
        <f>COUNT(C106:C115)</f>
        <v>6</v>
      </c>
      <c r="I117" s="41">
        <f>COUNT(D106:D115)</f>
        <v>6</v>
      </c>
      <c r="J117" s="42">
        <f>COUNT(E106:E115)</f>
        <v>6</v>
      </c>
      <c r="K117" s="49">
        <f>SUM(H117:J117)</f>
        <v>18</v>
      </c>
    </row>
    <row r="118" spans="2:11" ht="15.5" thickBot="1">
      <c r="G118" s="24" t="s">
        <v>27</v>
      </c>
      <c r="H118" s="46">
        <f>H116^2/H117</f>
        <v>433.5</v>
      </c>
      <c r="I118" s="47">
        <f t="shared" ref="I118:J118" si="4">I116^2/I117</f>
        <v>793.5</v>
      </c>
      <c r="J118" s="48">
        <f t="shared" si="4"/>
        <v>433.5</v>
      </c>
      <c r="K118" s="50">
        <f>SUM(H118:J118)</f>
        <v>1660.5</v>
      </c>
    </row>
    <row r="119" spans="2:11" ht="14" thickTop="1" thickBot="1">
      <c r="B119" s="21"/>
    </row>
    <row r="120" spans="2:11" ht="13.5" thickTop="1">
      <c r="G120" s="30" t="s">
        <v>24</v>
      </c>
      <c r="H120" s="51">
        <f>12*K118/(K117*(K117+1))-3*(K117+1)</f>
        <v>1.2631578947368425</v>
      </c>
      <c r="J120" s="21"/>
    </row>
    <row r="121" spans="2:11" ht="13">
      <c r="G121" s="31" t="s">
        <v>22</v>
      </c>
      <c r="H121" s="52">
        <f>H120/(1-[1]!TiesCorrection(C106:E115)/(27*(27^2-1)))</f>
        <v>1.5940313032195286</v>
      </c>
    </row>
    <row r="122" spans="2:11" ht="13">
      <c r="G122" s="31" t="s">
        <v>3</v>
      </c>
      <c r="H122" s="53">
        <f>COUNTA(H115:J115)-1</f>
        <v>2</v>
      </c>
    </row>
    <row r="123" spans="2:11" ht="13">
      <c r="G123" s="31" t="s">
        <v>2</v>
      </c>
      <c r="H123" s="54">
        <f>_xlfn.CHISQ.DIST.RT(H121,H122)</f>
        <v>0.45067192121716543</v>
      </c>
    </row>
    <row r="124" spans="2:11" ht="13">
      <c r="G124" s="31" t="s">
        <v>25</v>
      </c>
      <c r="H124" s="52">
        <v>0.05</v>
      </c>
    </row>
    <row r="125" spans="2:11" ht="13.5" thickBot="1">
      <c r="G125" s="32" t="s">
        <v>23</v>
      </c>
      <c r="H125" s="55" t="str">
        <f>IF(H123&lt;H124,"Signficant","No significance")</f>
        <v>No significance</v>
      </c>
    </row>
    <row r="126" spans="2:11" ht="13" thickTop="1"/>
  </sheetData>
  <mergeCells count="26">
    <mergeCell ref="G14:K14"/>
    <mergeCell ref="B1:K1"/>
    <mergeCell ref="B2:K2"/>
    <mergeCell ref="B3:K3"/>
    <mergeCell ref="C4:E4"/>
    <mergeCell ref="G4:J4"/>
    <mergeCell ref="B78:K78"/>
    <mergeCell ref="B27:K27"/>
    <mergeCell ref="B28:K28"/>
    <mergeCell ref="C29:E29"/>
    <mergeCell ref="G29:J29"/>
    <mergeCell ref="G39:K39"/>
    <mergeCell ref="B52:K52"/>
    <mergeCell ref="B53:K53"/>
    <mergeCell ref="C54:E54"/>
    <mergeCell ref="G54:J54"/>
    <mergeCell ref="G64:K64"/>
    <mergeCell ref="B77:K77"/>
    <mergeCell ref="G114:K114"/>
    <mergeCell ref="C79:E79"/>
    <mergeCell ref="G79:J79"/>
    <mergeCell ref="G89:K89"/>
    <mergeCell ref="B102:K102"/>
    <mergeCell ref="B103:K103"/>
    <mergeCell ref="C104:E104"/>
    <mergeCell ref="G104:J104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AAD48-5FCF-48F6-81FB-21E8E4082A65}">
  <dimension ref="A1:Y126"/>
  <sheetViews>
    <sheetView showGridLines="0" topLeftCell="A90" zoomScale="90" zoomScaleNormal="90" workbookViewId="0">
      <selection activeCell="P68" sqref="P68"/>
    </sheetView>
  </sheetViews>
  <sheetFormatPr defaultRowHeight="12.5"/>
  <cols>
    <col min="1" max="1" width="6.1796875" style="7" customWidth="1"/>
    <col min="2" max="2" width="6.453125" style="7" customWidth="1"/>
    <col min="3" max="3" width="15.7265625" style="7" customWidth="1"/>
    <col min="4" max="4" width="15.36328125" style="7" customWidth="1"/>
    <col min="5" max="5" width="16" style="7" customWidth="1"/>
    <col min="6" max="6" width="8.7265625" style="7"/>
    <col min="7" max="7" width="16.26953125" style="7" customWidth="1"/>
    <col min="8" max="9" width="15.36328125" style="7" customWidth="1"/>
    <col min="10" max="10" width="15.81640625" style="7" customWidth="1"/>
    <col min="11" max="11" width="12.1796875" style="7" customWidth="1"/>
    <col min="12" max="12" width="14.08984375" style="7" customWidth="1"/>
    <col min="13" max="15" width="18.6328125" style="7" customWidth="1"/>
    <col min="16" max="16" width="8.7265625" style="7"/>
    <col min="17" max="17" width="15.90625" style="7" customWidth="1"/>
    <col min="18" max="18" width="8.7265625" style="7"/>
    <col min="19" max="21" width="15" style="7" customWidth="1"/>
    <col min="22" max="16384" width="8.7265625" style="7"/>
  </cols>
  <sheetData>
    <row r="1" spans="1:25" ht="33.5" customHeight="1">
      <c r="A1" s="6"/>
      <c r="B1" s="63" t="s">
        <v>41</v>
      </c>
      <c r="C1" s="63"/>
      <c r="D1" s="63"/>
      <c r="E1" s="63"/>
      <c r="F1" s="63"/>
      <c r="G1" s="63"/>
      <c r="H1" s="63"/>
      <c r="I1" s="63"/>
      <c r="J1" s="63"/>
      <c r="K1" s="63"/>
    </row>
    <row r="2" spans="1:25" ht="27" customHeight="1">
      <c r="A2" s="6"/>
      <c r="B2" s="61" t="s">
        <v>29</v>
      </c>
      <c r="C2" s="62"/>
      <c r="D2" s="62"/>
      <c r="E2" s="62"/>
      <c r="F2" s="62"/>
      <c r="G2" s="62"/>
      <c r="H2" s="62"/>
      <c r="I2" s="62"/>
      <c r="J2" s="62"/>
      <c r="K2" s="62"/>
    </row>
    <row r="3" spans="1:25" ht="18.5" customHeight="1" thickBot="1">
      <c r="A3" s="6"/>
      <c r="B3" s="57" t="s">
        <v>28</v>
      </c>
      <c r="C3" s="57"/>
      <c r="D3" s="57"/>
      <c r="E3" s="57"/>
      <c r="F3" s="57"/>
      <c r="G3" s="57"/>
      <c r="H3" s="57"/>
      <c r="I3" s="57"/>
      <c r="J3" s="57"/>
      <c r="K3" s="57"/>
    </row>
    <row r="4" spans="1:25" ht="14" thickTop="1" thickBot="1">
      <c r="C4" s="58" t="s">
        <v>18</v>
      </c>
      <c r="D4" s="59"/>
      <c r="E4" s="60"/>
      <c r="G4" s="58" t="s">
        <v>19</v>
      </c>
      <c r="H4" s="59"/>
      <c r="I4" s="59"/>
      <c r="J4" s="60"/>
    </row>
    <row r="5" spans="1:25" ht="14" thickTop="1" thickBot="1">
      <c r="C5" s="8" t="s">
        <v>14</v>
      </c>
      <c r="D5" s="9" t="s">
        <v>15</v>
      </c>
      <c r="E5" s="10" t="s">
        <v>17</v>
      </c>
      <c r="G5" s="11"/>
      <c r="H5" s="27" t="str">
        <f>C5</f>
        <v>Anonymous</v>
      </c>
      <c r="I5" s="28" t="str">
        <f>D5</f>
        <v>Pseudonymous</v>
      </c>
      <c r="J5" s="29" t="str">
        <f>E5</f>
        <v>Non-Anonymous</v>
      </c>
      <c r="S5" s="12"/>
      <c r="T5" s="12"/>
      <c r="U5" s="12"/>
    </row>
    <row r="6" spans="1:25" ht="13.5" thickTop="1">
      <c r="C6" s="33">
        <v>2</v>
      </c>
      <c r="D6" s="34">
        <v>2</v>
      </c>
      <c r="E6" s="35">
        <v>4</v>
      </c>
      <c r="F6" s="16"/>
      <c r="G6" s="22" t="s">
        <v>6</v>
      </c>
      <c r="H6" s="37">
        <f t="array" ref="H6">MIN(IF(ISBLANK(C6:C15),"",IF(C6:C15&gt;=H7-$C19*(H9-H7),C6:C15,"")))</f>
        <v>3</v>
      </c>
      <c r="I6" s="38">
        <f t="array" ref="I6">MIN(IF(ISBLANK(D6:D15),"",IF(D6:D15&gt;=I7-$C19*(I9-I7),D6:D15,"")))</f>
        <v>2</v>
      </c>
      <c r="J6" s="39">
        <f t="array" ref="J6">MIN(IF(ISBLANK(E6:E15),"",IF(E6:E15&gt;=J7-$C19*(J9-J7),E6:E15,"")))</f>
        <v>4</v>
      </c>
    </row>
    <row r="7" spans="1:25" ht="13">
      <c r="C7" s="33">
        <v>3</v>
      </c>
      <c r="D7" s="34">
        <v>2</v>
      </c>
      <c r="E7" s="35">
        <v>4</v>
      </c>
      <c r="G7" s="23" t="s">
        <v>7</v>
      </c>
      <c r="H7" s="40">
        <f>_xlfn.QUARTILE.INC(C6:C15,1)</f>
        <v>2.25</v>
      </c>
      <c r="I7" s="41">
        <f>_xlfn.QUARTILE.INC(D6:D15,1)</f>
        <v>2</v>
      </c>
      <c r="J7" s="42">
        <f>_xlfn.QUARTILE.INC(E6:E15,1)</f>
        <v>3.25</v>
      </c>
      <c r="W7" s="16"/>
      <c r="X7" s="16"/>
      <c r="Y7" s="16"/>
    </row>
    <row r="8" spans="1:25" ht="13">
      <c r="C8" s="33">
        <v>2</v>
      </c>
      <c r="D8" s="34">
        <v>4</v>
      </c>
      <c r="E8" s="35">
        <v>3</v>
      </c>
      <c r="G8" s="36" t="s">
        <v>8</v>
      </c>
      <c r="H8" s="43">
        <f>MEDIAN(C6:C15)</f>
        <v>3</v>
      </c>
      <c r="I8" s="44">
        <f>MEDIAN(D6:D15)</f>
        <v>2</v>
      </c>
      <c r="J8" s="45">
        <f>MEDIAN(E6:E15)</f>
        <v>4</v>
      </c>
    </row>
    <row r="9" spans="1:25" ht="13">
      <c r="C9" s="33">
        <v>4</v>
      </c>
      <c r="D9" s="34">
        <v>4</v>
      </c>
      <c r="E9" s="35">
        <v>2</v>
      </c>
      <c r="G9" s="23" t="s">
        <v>9</v>
      </c>
      <c r="H9" s="40">
        <f>_xlfn.QUARTILE.INC(C6:C15,3)</f>
        <v>3.75</v>
      </c>
      <c r="I9" s="41">
        <f>_xlfn.QUARTILE.INC(D6:D15,3)</f>
        <v>3.5</v>
      </c>
      <c r="J9" s="42">
        <f>_xlfn.QUARTILE.INC(E6:E15,3)</f>
        <v>4</v>
      </c>
    </row>
    <row r="10" spans="1:25" ht="13">
      <c r="C10" s="33">
        <v>3</v>
      </c>
      <c r="D10" s="34">
        <v>2</v>
      </c>
      <c r="E10" s="35">
        <v>4</v>
      </c>
      <c r="G10" s="23" t="s">
        <v>10</v>
      </c>
      <c r="H10" s="40">
        <f t="array" ref="H10">MAX(IF(ISBLANK(C6:C15),"",IF(C6:C15&lt;=H9+$C19*(H9-H7),C6:C15,"")))</f>
        <v>3</v>
      </c>
      <c r="I10" s="41">
        <f t="array" ref="I10">MAX(IF(ISBLANK(D6:D15),"",IF(D6:D15&lt;=I9+$C19*(I9-I7),D6:D15,"")))</f>
        <v>2</v>
      </c>
      <c r="J10" s="42">
        <f t="array" ref="J10">MAX(IF(ISBLANK(E6:E15),"",IF(E6:E15&lt;=J9+$C19*(J9-J7),E6:E15,"")))</f>
        <v>4</v>
      </c>
    </row>
    <row r="11" spans="1:25" ht="13">
      <c r="C11" s="33">
        <v>4</v>
      </c>
      <c r="D11" s="34">
        <v>2</v>
      </c>
      <c r="E11" s="35">
        <v>4</v>
      </c>
      <c r="G11" s="36" t="s">
        <v>0</v>
      </c>
      <c r="H11" s="43">
        <f>AVERAGE(C6:C15)</f>
        <v>3</v>
      </c>
      <c r="I11" s="44">
        <f>AVERAGE(D6:D15)</f>
        <v>2.6666666666666665</v>
      </c>
      <c r="J11" s="45">
        <f>AVERAGE(E6:E15)</f>
        <v>3.5</v>
      </c>
    </row>
    <row r="12" spans="1:25" ht="13.5" thickBot="1">
      <c r="C12" s="13"/>
      <c r="D12" s="14"/>
      <c r="E12" s="15"/>
      <c r="G12" s="24" t="s">
        <v>1</v>
      </c>
      <c r="H12" s="46">
        <f>VAR(C6:C15)</f>
        <v>0.8</v>
      </c>
      <c r="I12" s="47">
        <f>VAR(D6:D15)</f>
        <v>1.0666666666666671</v>
      </c>
      <c r="J12" s="48">
        <f>VAR(E6:E15)</f>
        <v>0.7</v>
      </c>
    </row>
    <row r="13" spans="1:25" ht="14" thickTop="1" thickBot="1">
      <c r="C13" s="13"/>
      <c r="D13" s="14"/>
      <c r="E13" s="15"/>
      <c r="G13" s="56"/>
      <c r="W13" s="16"/>
      <c r="X13" s="16"/>
      <c r="Y13" s="16"/>
    </row>
    <row r="14" spans="1:25" ht="14" thickTop="1" thickBot="1">
      <c r="C14" s="13"/>
      <c r="D14" s="14"/>
      <c r="E14" s="15"/>
      <c r="G14" s="58" t="s">
        <v>20</v>
      </c>
      <c r="H14" s="59"/>
      <c r="I14" s="59"/>
      <c r="J14" s="59"/>
      <c r="K14" s="60"/>
    </row>
    <row r="15" spans="1:25" ht="14" thickTop="1" thickBot="1">
      <c r="C15" s="17"/>
      <c r="D15" s="18"/>
      <c r="E15" s="19"/>
      <c r="G15" s="11"/>
      <c r="H15" s="8" t="str">
        <f>C5</f>
        <v>Anonymous</v>
      </c>
      <c r="I15" s="9" t="str">
        <f>D5</f>
        <v>Pseudonymous</v>
      </c>
      <c r="J15" s="10" t="str">
        <f>E5</f>
        <v>Non-Anonymous</v>
      </c>
      <c r="K15" s="20"/>
    </row>
    <row r="16" spans="1:25" ht="14" thickTop="1" thickBot="1">
      <c r="B16" s="21"/>
      <c r="G16" s="22" t="s">
        <v>21</v>
      </c>
      <c r="H16" s="37">
        <f>[1]!RANK_SUM(C6:E15, 1,1)</f>
        <v>55</v>
      </c>
      <c r="I16" s="38">
        <f>[1]!RANK_SUM(C6:E15, 2,1)</f>
        <v>45</v>
      </c>
      <c r="J16" s="39">
        <f>[1]!RANK_SUM(C6:E15, 3,1)</f>
        <v>71</v>
      </c>
      <c r="K16" s="5" t="s">
        <v>26</v>
      </c>
      <c r="R16" s="21"/>
    </row>
    <row r="17" spans="2:23" ht="13.5" thickTop="1">
      <c r="G17" s="23" t="s">
        <v>4</v>
      </c>
      <c r="H17" s="40">
        <f>COUNT(C6:C15)</f>
        <v>6</v>
      </c>
      <c r="I17" s="41">
        <f>COUNT(D6:D15)</f>
        <v>6</v>
      </c>
      <c r="J17" s="42">
        <f>COUNT(E6:E15)</f>
        <v>6</v>
      </c>
      <c r="K17" s="49">
        <f>SUM(H17:J17)</f>
        <v>18</v>
      </c>
    </row>
    <row r="18" spans="2:23" ht="15.5" thickBot="1">
      <c r="G18" s="24" t="s">
        <v>27</v>
      </c>
      <c r="H18" s="46">
        <f>H16^2/H17</f>
        <v>504.16666666666669</v>
      </c>
      <c r="I18" s="47">
        <f t="shared" ref="I18:J18" si="0">I16^2/I17</f>
        <v>337.5</v>
      </c>
      <c r="J18" s="48">
        <f t="shared" si="0"/>
        <v>840.16666666666663</v>
      </c>
      <c r="K18" s="50">
        <f>SUM(H18:J18)</f>
        <v>1681.8333333333335</v>
      </c>
      <c r="R18" s="21"/>
    </row>
    <row r="19" spans="2:23" ht="14" thickTop="1" thickBot="1">
      <c r="B19" s="21"/>
      <c r="R19" s="21"/>
    </row>
    <row r="20" spans="2:23" ht="13.5" thickTop="1">
      <c r="G20" s="30" t="s">
        <v>24</v>
      </c>
      <c r="H20" s="51">
        <f>12*K18/(K17*(K17+1))-3*(K17+1)</f>
        <v>2.0116959064327489</v>
      </c>
      <c r="J20" s="21"/>
      <c r="R20" s="21"/>
    </row>
    <row r="21" spans="2:23" ht="13">
      <c r="G21" s="31" t="s">
        <v>22</v>
      </c>
      <c r="H21" s="52">
        <f>H20/(1-[1]!TiesCorrection(C6:E15)/(27*(27^2-1)))</f>
        <v>2.1041876722457489</v>
      </c>
      <c r="R21" s="21"/>
    </row>
    <row r="22" spans="2:23" ht="13">
      <c r="G22" s="31" t="s">
        <v>3</v>
      </c>
      <c r="H22" s="53">
        <f>COUNTA(H15:J15)-1</f>
        <v>2</v>
      </c>
      <c r="R22" s="21"/>
    </row>
    <row r="23" spans="2:23" ht="13">
      <c r="G23" s="31" t="s">
        <v>2</v>
      </c>
      <c r="H23" s="54">
        <f>_xlfn.CHISQ.DIST.RT(H21,H22)</f>
        <v>0.34920580336594298</v>
      </c>
      <c r="R23" s="21"/>
      <c r="V23" s="25"/>
    </row>
    <row r="24" spans="2:23" ht="13">
      <c r="G24" s="31" t="s">
        <v>25</v>
      </c>
      <c r="H24" s="52">
        <v>0.05</v>
      </c>
    </row>
    <row r="25" spans="2:23" ht="13.5" thickBot="1">
      <c r="G25" s="32" t="s">
        <v>23</v>
      </c>
      <c r="H25" s="55" t="str">
        <f>IF(H23&lt;H24,"Signficant","No significance")</f>
        <v>No significance</v>
      </c>
    </row>
    <row r="26" spans="2:23" ht="13" thickTop="1"/>
    <row r="27" spans="2:23" ht="13">
      <c r="B27" s="61" t="s">
        <v>31</v>
      </c>
      <c r="C27" s="62"/>
      <c r="D27" s="62"/>
      <c r="E27" s="62"/>
      <c r="F27" s="62"/>
      <c r="G27" s="62"/>
      <c r="H27" s="62"/>
      <c r="I27" s="62"/>
      <c r="J27" s="62"/>
      <c r="K27" s="62"/>
    </row>
    <row r="28" spans="2:23" ht="13.5" thickBot="1">
      <c r="B28" s="57" t="s">
        <v>28</v>
      </c>
      <c r="C28" s="57"/>
      <c r="D28" s="57"/>
      <c r="E28" s="57"/>
      <c r="F28" s="57"/>
      <c r="G28" s="57"/>
      <c r="H28" s="57"/>
      <c r="I28" s="57"/>
      <c r="J28" s="57"/>
      <c r="K28" s="57"/>
      <c r="Q28" s="16"/>
      <c r="R28" s="16"/>
      <c r="S28" s="16"/>
      <c r="T28" s="16"/>
      <c r="U28" s="16"/>
      <c r="V28" s="16"/>
      <c r="W28" s="16"/>
    </row>
    <row r="29" spans="2:23" ht="14" thickTop="1" thickBot="1">
      <c r="C29" s="58" t="s">
        <v>35</v>
      </c>
      <c r="D29" s="59"/>
      <c r="E29" s="60"/>
      <c r="G29" s="58" t="s">
        <v>19</v>
      </c>
      <c r="H29" s="59"/>
      <c r="I29" s="59"/>
      <c r="J29" s="60"/>
    </row>
    <row r="30" spans="2:23" ht="14" thickTop="1" thickBot="1">
      <c r="C30" s="8" t="s">
        <v>14</v>
      </c>
      <c r="D30" s="9" t="s">
        <v>15</v>
      </c>
      <c r="E30" s="10" t="s">
        <v>17</v>
      </c>
      <c r="G30" s="11"/>
      <c r="H30" s="27" t="str">
        <f>C30</f>
        <v>Anonymous</v>
      </c>
      <c r="I30" s="28" t="str">
        <f>D30</f>
        <v>Pseudonymous</v>
      </c>
      <c r="J30" s="29" t="str">
        <f>E30</f>
        <v>Non-Anonymous</v>
      </c>
    </row>
    <row r="31" spans="2:23" ht="13.5" thickTop="1">
      <c r="C31" s="33">
        <v>2</v>
      </c>
      <c r="D31" s="34">
        <v>2</v>
      </c>
      <c r="E31" s="35">
        <v>4</v>
      </c>
      <c r="F31" s="16"/>
      <c r="G31" s="22" t="s">
        <v>6</v>
      </c>
      <c r="H31" s="37">
        <f t="array" ref="H31">MIN(IF(ISBLANK(C31:C40),"",IF(C31:C40&gt;=H32-$C44*(H34-H32),C31:C40,"")))</f>
        <v>2</v>
      </c>
      <c r="I31" s="38">
        <f t="array" ref="I31">MIN(IF(ISBLANK(D31:D40),"",IF(D31:D40&gt;=I32-$C44*(I34-I32),D31:D40,"")))</f>
        <v>2</v>
      </c>
      <c r="J31" s="39">
        <f t="array" ref="J31">MIN(IF(ISBLANK(E31:E40),"",IF(E31:E40&gt;=J32-$C44*(J34-J32),E31:E40,"")))</f>
        <v>3</v>
      </c>
    </row>
    <row r="32" spans="2:23" ht="13">
      <c r="C32" s="33">
        <v>2</v>
      </c>
      <c r="D32" s="34">
        <v>2</v>
      </c>
      <c r="E32" s="35">
        <v>4</v>
      </c>
      <c r="G32" s="23" t="s">
        <v>7</v>
      </c>
      <c r="H32" s="40">
        <f>_xlfn.QUARTILE.INC(C31:C40,1)</f>
        <v>2</v>
      </c>
      <c r="I32" s="41">
        <f>_xlfn.QUARTILE.INC(D31:D40,1)</f>
        <v>2</v>
      </c>
      <c r="J32" s="42">
        <f>_xlfn.QUARTILE.INC(E31:E40,1)</f>
        <v>3</v>
      </c>
    </row>
    <row r="33" spans="2:25" ht="13">
      <c r="C33" s="33">
        <v>2</v>
      </c>
      <c r="D33" s="34">
        <v>3</v>
      </c>
      <c r="E33" s="35">
        <v>3</v>
      </c>
      <c r="G33" s="36" t="s">
        <v>8</v>
      </c>
      <c r="H33" s="43">
        <f>MEDIAN(C31:C40)</f>
        <v>2</v>
      </c>
      <c r="I33" s="44">
        <f>MEDIAN(D31:D40)</f>
        <v>2</v>
      </c>
      <c r="J33" s="45">
        <f>MEDIAN(E31:E40)</f>
        <v>3</v>
      </c>
    </row>
    <row r="34" spans="2:25" ht="13">
      <c r="C34" s="33">
        <v>2</v>
      </c>
      <c r="D34" s="34">
        <v>3</v>
      </c>
      <c r="E34" s="35">
        <v>3</v>
      </c>
      <c r="G34" s="23" t="s">
        <v>9</v>
      </c>
      <c r="H34" s="40">
        <f>_xlfn.QUARTILE.INC(C31:C40,3)</f>
        <v>2.75</v>
      </c>
      <c r="I34" s="41">
        <f>_xlfn.QUARTILE.INC(D31:D40,3)</f>
        <v>2.75</v>
      </c>
      <c r="J34" s="42">
        <f>_xlfn.QUARTILE.INC(E31:E40,3)</f>
        <v>3.75</v>
      </c>
    </row>
    <row r="35" spans="2:25" ht="13">
      <c r="C35" s="33">
        <v>3</v>
      </c>
      <c r="D35" s="34">
        <v>2</v>
      </c>
      <c r="E35" s="35">
        <v>3</v>
      </c>
      <c r="G35" s="23" t="s">
        <v>10</v>
      </c>
      <c r="H35" s="40">
        <f t="array" ref="H35">MAX(IF(ISBLANK(C31:C40),"",IF(C31:C40&lt;=H34+$C44*(H34-H32),C31:C40,"")))</f>
        <v>2</v>
      </c>
      <c r="I35" s="41">
        <f t="array" ref="I35">MAX(IF(ISBLANK(D31:D40),"",IF(D31:D40&lt;=I34+$C44*(I34-I32),D31:D40,"")))</f>
        <v>2</v>
      </c>
      <c r="J35" s="42">
        <f t="array" ref="J35">MAX(IF(ISBLANK(E31:E40),"",IF(E31:E40&lt;=J34+$C44*(J34-J32),E31:E40,"")))</f>
        <v>3</v>
      </c>
    </row>
    <row r="36" spans="2:25" ht="13">
      <c r="C36" s="33">
        <v>4</v>
      </c>
      <c r="D36" s="34">
        <v>2</v>
      </c>
      <c r="E36" s="35">
        <v>3</v>
      </c>
      <c r="G36" s="36" t="s">
        <v>0</v>
      </c>
      <c r="H36" s="43">
        <f>AVERAGE(C31:C40)</f>
        <v>2.5</v>
      </c>
      <c r="I36" s="44">
        <f>AVERAGE(D31:D40)</f>
        <v>2.3333333333333335</v>
      </c>
      <c r="J36" s="45">
        <f>AVERAGE(E31:E40)</f>
        <v>3.3333333333333335</v>
      </c>
    </row>
    <row r="37" spans="2:25" ht="13.5" thickBot="1">
      <c r="C37" s="13"/>
      <c r="D37" s="14"/>
      <c r="E37" s="15"/>
      <c r="G37" s="24" t="s">
        <v>1</v>
      </c>
      <c r="H37" s="46">
        <f>VAR(C31:C40)</f>
        <v>0.7</v>
      </c>
      <c r="I37" s="47">
        <f>VAR(D31:D40)</f>
        <v>0.26666666666666716</v>
      </c>
      <c r="J37" s="48">
        <f>VAR(E31:E40)</f>
        <v>0.26666666666666572</v>
      </c>
      <c r="Q37" s="16"/>
      <c r="R37" s="16"/>
      <c r="S37" s="16"/>
      <c r="T37" s="16"/>
      <c r="U37" s="16"/>
      <c r="V37" s="16"/>
      <c r="W37" s="16"/>
      <c r="X37" s="16"/>
      <c r="Y37" s="16"/>
    </row>
    <row r="38" spans="2:25" ht="13.5" thickTop="1" thickBot="1">
      <c r="C38" s="13"/>
      <c r="D38" s="14"/>
      <c r="E38" s="15"/>
      <c r="G38" s="56"/>
    </row>
    <row r="39" spans="2:25" ht="14" thickTop="1" thickBot="1">
      <c r="C39" s="13"/>
      <c r="D39" s="14"/>
      <c r="E39" s="15"/>
      <c r="G39" s="58" t="s">
        <v>20</v>
      </c>
      <c r="H39" s="59"/>
      <c r="I39" s="59"/>
      <c r="J39" s="59"/>
      <c r="K39" s="60"/>
    </row>
    <row r="40" spans="2:25" ht="14" thickTop="1" thickBot="1">
      <c r="C40" s="17"/>
      <c r="D40" s="18"/>
      <c r="E40" s="19"/>
      <c r="G40" s="11"/>
      <c r="H40" s="8" t="str">
        <f>C30</f>
        <v>Anonymous</v>
      </c>
      <c r="I40" s="9" t="str">
        <f>D30</f>
        <v>Pseudonymous</v>
      </c>
      <c r="J40" s="10" t="str">
        <f>E30</f>
        <v>Non-Anonymous</v>
      </c>
      <c r="K40" s="20"/>
    </row>
    <row r="41" spans="2:25" ht="14" thickTop="1" thickBot="1">
      <c r="B41" s="21"/>
      <c r="G41" s="22" t="s">
        <v>21</v>
      </c>
      <c r="H41" s="37">
        <f>[1]!RANK_SUM(C31:E40, 1,1)</f>
        <v>47</v>
      </c>
      <c r="I41" s="38">
        <f>[1]!RANK_SUM(C31:E40, 2,1)</f>
        <v>42</v>
      </c>
      <c r="J41" s="39">
        <f>[1]!RANK_SUM(C31:E40, 3,1)</f>
        <v>82</v>
      </c>
      <c r="K41" s="5" t="s">
        <v>26</v>
      </c>
    </row>
    <row r="42" spans="2:25" ht="13.5" thickTop="1">
      <c r="G42" s="23" t="s">
        <v>4</v>
      </c>
      <c r="H42" s="40">
        <f>COUNT(C31:C40)</f>
        <v>6</v>
      </c>
      <c r="I42" s="41">
        <f>COUNT(D31:D40)</f>
        <v>6</v>
      </c>
      <c r="J42" s="42">
        <f>COUNT(E31:E40)</f>
        <v>6</v>
      </c>
      <c r="K42" s="49">
        <f>SUM(H42:J42)</f>
        <v>18</v>
      </c>
    </row>
    <row r="43" spans="2:25" ht="15.5" thickBot="1">
      <c r="G43" s="24" t="s">
        <v>27</v>
      </c>
      <c r="H43" s="46">
        <f>H41^2/H42</f>
        <v>368.16666666666669</v>
      </c>
      <c r="I43" s="47">
        <f t="shared" ref="I43:J43" si="1">I41^2/I42</f>
        <v>294</v>
      </c>
      <c r="J43" s="48">
        <f t="shared" si="1"/>
        <v>1120.6666666666667</v>
      </c>
      <c r="K43" s="50">
        <f>SUM(H43:J43)</f>
        <v>1782.8333333333335</v>
      </c>
      <c r="Q43" s="16"/>
      <c r="R43" s="16"/>
      <c r="S43" s="16"/>
      <c r="T43" s="16"/>
      <c r="U43" s="16"/>
      <c r="V43" s="16"/>
      <c r="W43" s="16"/>
      <c r="X43" s="16"/>
      <c r="Y43" s="16"/>
    </row>
    <row r="44" spans="2:25" ht="14" thickTop="1" thickBot="1">
      <c r="B44" s="21"/>
    </row>
    <row r="45" spans="2:25" ht="13.5" thickTop="1">
      <c r="G45" s="30" t="s">
        <v>24</v>
      </c>
      <c r="H45" s="51">
        <f>12*K43/(K42*(K42+1))-3*(K42+1)</f>
        <v>5.5555555555555571</v>
      </c>
      <c r="J45" s="21"/>
    </row>
    <row r="46" spans="2:25" ht="13">
      <c r="G46" s="31" t="s">
        <v>22</v>
      </c>
      <c r="H46" s="52">
        <f>H45/(1-[1]!TiesCorrection(C31:E40)/(27*(27^2-1)))</f>
        <v>5.8109833971902951</v>
      </c>
    </row>
    <row r="47" spans="2:25" ht="13">
      <c r="G47" s="31" t="s">
        <v>3</v>
      </c>
      <c r="H47" s="53">
        <f>COUNTA(H40:J40)-1</f>
        <v>2</v>
      </c>
    </row>
    <row r="48" spans="2:25" ht="13">
      <c r="G48" s="31" t="s">
        <v>2</v>
      </c>
      <c r="H48" s="54">
        <f>_xlfn.CHISQ.DIST.RT(H46,H47)</f>
        <v>5.4721877315220255E-2</v>
      </c>
      <c r="L48" s="26"/>
      <c r="M48" s="26"/>
      <c r="N48" s="26"/>
    </row>
    <row r="49" spans="2:23" ht="13">
      <c r="G49" s="31" t="s">
        <v>25</v>
      </c>
      <c r="H49" s="52">
        <v>0.05</v>
      </c>
    </row>
    <row r="50" spans="2:23" ht="13.5" thickBot="1">
      <c r="G50" s="32" t="s">
        <v>23</v>
      </c>
      <c r="H50" s="55" t="str">
        <f>IF(H48&lt;H49,"Signficant","No significance")</f>
        <v>No significance</v>
      </c>
    </row>
    <row r="51" spans="2:23" ht="13.5" thickTop="1">
      <c r="Q51" s="16"/>
      <c r="R51" s="16"/>
      <c r="S51" s="16"/>
      <c r="T51" s="16"/>
      <c r="U51" s="16"/>
    </row>
    <row r="52" spans="2:23" ht="13">
      <c r="B52" s="61" t="s">
        <v>34</v>
      </c>
      <c r="C52" s="62"/>
      <c r="D52" s="62"/>
      <c r="E52" s="62"/>
      <c r="F52" s="62"/>
      <c r="G52" s="62"/>
      <c r="H52" s="62"/>
      <c r="I52" s="62"/>
      <c r="J52" s="62"/>
      <c r="K52" s="62"/>
    </row>
    <row r="53" spans="2:23" ht="13" thickBot="1">
      <c r="B53" s="57" t="s">
        <v>28</v>
      </c>
      <c r="C53" s="57"/>
      <c r="D53" s="57"/>
      <c r="E53" s="57"/>
      <c r="F53" s="57"/>
      <c r="G53" s="57"/>
      <c r="H53" s="57"/>
      <c r="I53" s="57"/>
      <c r="J53" s="57"/>
      <c r="K53" s="57"/>
    </row>
    <row r="54" spans="2:23" ht="14" thickTop="1" thickBot="1">
      <c r="C54" s="58" t="s">
        <v>36</v>
      </c>
      <c r="D54" s="59"/>
      <c r="E54" s="60"/>
      <c r="G54" s="58" t="s">
        <v>19</v>
      </c>
      <c r="H54" s="59"/>
      <c r="I54" s="59"/>
      <c r="J54" s="60"/>
    </row>
    <row r="55" spans="2:23" ht="14" thickTop="1" thickBot="1">
      <c r="C55" s="8" t="s">
        <v>14</v>
      </c>
      <c r="D55" s="9" t="s">
        <v>15</v>
      </c>
      <c r="E55" s="10" t="s">
        <v>17</v>
      </c>
      <c r="G55" s="11"/>
      <c r="H55" s="27" t="str">
        <f>C55</f>
        <v>Anonymous</v>
      </c>
      <c r="I55" s="28" t="str">
        <f>D55</f>
        <v>Pseudonymous</v>
      </c>
      <c r="J55" s="29" t="str">
        <f>E55</f>
        <v>Non-Anonymous</v>
      </c>
    </row>
    <row r="56" spans="2:23" ht="13.5" thickTop="1">
      <c r="C56" s="33">
        <v>1</v>
      </c>
      <c r="D56" s="34">
        <v>2</v>
      </c>
      <c r="E56" s="35">
        <v>1</v>
      </c>
      <c r="F56" s="16"/>
      <c r="G56" s="22" t="s">
        <v>6</v>
      </c>
      <c r="H56" s="37">
        <f t="array" ref="H56">MIN(IF(ISBLANK(C56:C65),"",IF(C56:C65&gt;=H57-$C69*(H59-H57),C56:C65,"")))</f>
        <v>2</v>
      </c>
      <c r="I56" s="38">
        <f t="array" ref="I56">MIN(IF(ISBLANK(D56:D65),"",IF(D56:D65&gt;=I57-$C69*(I59-I57),D56:D65,"")))</f>
        <v>1</v>
      </c>
      <c r="J56" s="39">
        <f t="array" ref="J56">MIN(IF(ISBLANK(E56:E65),"",IF(E56:E65&gt;=J57-$C69*(J59-J57),E56:E65,"")))</f>
        <v>1</v>
      </c>
    </row>
    <row r="57" spans="2:23" ht="13">
      <c r="C57" s="33">
        <v>2</v>
      </c>
      <c r="D57" s="34">
        <v>4</v>
      </c>
      <c r="E57" s="35">
        <v>1</v>
      </c>
      <c r="G57" s="23" t="s">
        <v>7</v>
      </c>
      <c r="H57" s="40">
        <f>_xlfn.QUARTILE.INC(C56:C65,1)</f>
        <v>1.25</v>
      </c>
      <c r="I57" s="41">
        <f>_xlfn.QUARTILE.INC(D56:D65,1)</f>
        <v>1</v>
      </c>
      <c r="J57" s="42">
        <f>_xlfn.QUARTILE.INC(E56:E65,1)</f>
        <v>1</v>
      </c>
    </row>
    <row r="58" spans="2:23" ht="13">
      <c r="C58" s="33">
        <v>3</v>
      </c>
      <c r="D58" s="34">
        <v>1</v>
      </c>
      <c r="E58" s="35">
        <v>1</v>
      </c>
      <c r="G58" s="36" t="s">
        <v>8</v>
      </c>
      <c r="H58" s="43">
        <f>MEDIAN(C56:C65)</f>
        <v>2</v>
      </c>
      <c r="I58" s="44">
        <f>MEDIAN(D56:D65)</f>
        <v>1.5</v>
      </c>
      <c r="J58" s="45">
        <f>MEDIAN(E56:E65)</f>
        <v>1</v>
      </c>
      <c r="Q58" s="16"/>
      <c r="R58" s="16"/>
      <c r="S58" s="16"/>
      <c r="T58" s="16"/>
      <c r="U58" s="16"/>
      <c r="V58" s="16"/>
      <c r="W58" s="16"/>
    </row>
    <row r="59" spans="2:23" ht="13">
      <c r="C59" s="33">
        <v>3</v>
      </c>
      <c r="D59" s="34">
        <v>2</v>
      </c>
      <c r="E59" s="35">
        <v>3</v>
      </c>
      <c r="G59" s="23" t="s">
        <v>9</v>
      </c>
      <c r="H59" s="40">
        <f>_xlfn.QUARTILE.INC(C56:C65,3)</f>
        <v>2.75</v>
      </c>
      <c r="I59" s="41">
        <f>_xlfn.QUARTILE.INC(D56:D65,3)</f>
        <v>2</v>
      </c>
      <c r="J59" s="42">
        <f>_xlfn.QUARTILE.INC(E56:E65,3)</f>
        <v>2.5</v>
      </c>
    </row>
    <row r="60" spans="2:23" ht="13">
      <c r="C60" s="33">
        <v>1</v>
      </c>
      <c r="D60" s="34">
        <v>1</v>
      </c>
      <c r="E60" s="35">
        <v>1</v>
      </c>
      <c r="G60" s="23" t="s">
        <v>10</v>
      </c>
      <c r="H60" s="40">
        <f t="array" ref="H60">MAX(IF(ISBLANK(C56:C65),"",IF(C56:C65&lt;=H59+$C69*(H59-H57),C56:C65,"")))</f>
        <v>2</v>
      </c>
      <c r="I60" s="41">
        <f t="array" ref="I60">MAX(IF(ISBLANK(D56:D65),"",IF(D56:D65&lt;=I59+$C69*(I59-I57),D56:D65,"")))</f>
        <v>2</v>
      </c>
      <c r="J60" s="42">
        <f t="array" ref="J60">MAX(IF(ISBLANK(E56:E65),"",IF(E56:E65&lt;=J59+$C69*(J59-J57),E56:E65,"")))</f>
        <v>1</v>
      </c>
    </row>
    <row r="61" spans="2:23" ht="13">
      <c r="C61" s="33">
        <v>2</v>
      </c>
      <c r="D61" s="34">
        <v>1</v>
      </c>
      <c r="E61" s="35">
        <v>3</v>
      </c>
      <c r="G61" s="36" t="s">
        <v>0</v>
      </c>
      <c r="H61" s="43">
        <f>AVERAGE(C56:C65)</f>
        <v>2</v>
      </c>
      <c r="I61" s="44">
        <f>AVERAGE(D56:D65)</f>
        <v>1.8333333333333333</v>
      </c>
      <c r="J61" s="45">
        <f>AVERAGE(E56:E65)</f>
        <v>1.6666666666666667</v>
      </c>
    </row>
    <row r="62" spans="2:23" ht="13.5" thickBot="1">
      <c r="C62" s="13"/>
      <c r="D62" s="14"/>
      <c r="E62" s="15"/>
      <c r="G62" s="24" t="s">
        <v>1</v>
      </c>
      <c r="H62" s="46">
        <f>VAR(C56:C65)</f>
        <v>0.8</v>
      </c>
      <c r="I62" s="47">
        <f>VAR(D56:D65)</f>
        <v>1.3666666666666665</v>
      </c>
      <c r="J62" s="48">
        <f>VAR(E56:E65)</f>
        <v>1.0666666666666664</v>
      </c>
    </row>
    <row r="63" spans="2:23" ht="13.5" thickTop="1" thickBot="1">
      <c r="C63" s="13"/>
      <c r="D63" s="14"/>
      <c r="E63" s="15"/>
      <c r="G63" s="56"/>
    </row>
    <row r="64" spans="2:23" ht="14" thickTop="1" thickBot="1">
      <c r="C64" s="13"/>
      <c r="D64" s="14"/>
      <c r="E64" s="15"/>
      <c r="G64" s="58" t="s">
        <v>20</v>
      </c>
      <c r="H64" s="59"/>
      <c r="I64" s="59"/>
      <c r="J64" s="59"/>
      <c r="K64" s="60"/>
    </row>
    <row r="65" spans="2:11" ht="14" thickTop="1" thickBot="1">
      <c r="C65" s="17"/>
      <c r="D65" s="18"/>
      <c r="E65" s="19"/>
      <c r="G65" s="11"/>
      <c r="H65" s="8" t="str">
        <f>C55</f>
        <v>Anonymous</v>
      </c>
      <c r="I65" s="9" t="str">
        <f>D55</f>
        <v>Pseudonymous</v>
      </c>
      <c r="J65" s="10" t="str">
        <f>E55</f>
        <v>Non-Anonymous</v>
      </c>
      <c r="K65" s="20"/>
    </row>
    <row r="66" spans="2:11" ht="14" thickTop="1" thickBot="1">
      <c r="B66" s="21"/>
      <c r="G66" s="22" t="s">
        <v>21</v>
      </c>
      <c r="H66" s="37">
        <f>[1]!RANK_SUM(C56:E65, 1,1)</f>
        <v>64</v>
      </c>
      <c r="I66" s="38">
        <f>[1]!RANK_SUM(C56:E65, 2,1)</f>
        <v>56</v>
      </c>
      <c r="J66" s="39">
        <f>[1]!RANK_SUM(C56:E65, 3,1)</f>
        <v>51</v>
      </c>
      <c r="K66" s="5" t="s">
        <v>26</v>
      </c>
    </row>
    <row r="67" spans="2:11" ht="13.5" thickTop="1">
      <c r="G67" s="23" t="s">
        <v>4</v>
      </c>
      <c r="H67" s="40">
        <f>COUNT(C56:C65)</f>
        <v>6</v>
      </c>
      <c r="I67" s="41">
        <f>COUNT(D56:D65)</f>
        <v>6</v>
      </c>
      <c r="J67" s="42">
        <f>COUNT(E56:E65)</f>
        <v>6</v>
      </c>
      <c r="K67" s="49">
        <f>SUM(H67:J67)</f>
        <v>18</v>
      </c>
    </row>
    <row r="68" spans="2:11" ht="15.5" thickBot="1">
      <c r="G68" s="24" t="s">
        <v>27</v>
      </c>
      <c r="H68" s="46">
        <f>H66^2/H67</f>
        <v>682.66666666666663</v>
      </c>
      <c r="I68" s="47">
        <f t="shared" ref="I68:J68" si="2">I66^2/I67</f>
        <v>522.66666666666663</v>
      </c>
      <c r="J68" s="48">
        <f t="shared" si="2"/>
        <v>433.5</v>
      </c>
      <c r="K68" s="50">
        <f>SUM(H68:J68)</f>
        <v>1638.8333333333333</v>
      </c>
    </row>
    <row r="69" spans="2:11" ht="14" thickTop="1" thickBot="1">
      <c r="B69" s="21"/>
    </row>
    <row r="70" spans="2:11" ht="13.5" thickTop="1">
      <c r="G70" s="30" t="s">
        <v>24</v>
      </c>
      <c r="H70" s="51">
        <f>12*K68/(K67*(K67+1))-3*(K67+1)</f>
        <v>0.50292397660818722</v>
      </c>
      <c r="J70" s="21"/>
    </row>
    <row r="71" spans="2:11" ht="13">
      <c r="G71" s="31" t="s">
        <v>22</v>
      </c>
      <c r="H71" s="52">
        <f>H70/(1-[1]!TiesCorrection(C56:E65)/(27*(27^2-1)))</f>
        <v>0.52537593984962416</v>
      </c>
    </row>
    <row r="72" spans="2:11" ht="13">
      <c r="G72" s="31" t="s">
        <v>3</v>
      </c>
      <c r="H72" s="53">
        <f>COUNTA(H65:J65)-1</f>
        <v>2</v>
      </c>
    </row>
    <row r="73" spans="2:11" ht="13">
      <c r="G73" s="31" t="s">
        <v>2</v>
      </c>
      <c r="H73" s="54">
        <f>_xlfn.CHISQ.DIST.RT(H71,H72)</f>
        <v>0.76898180533049054</v>
      </c>
    </row>
    <row r="74" spans="2:11" ht="13">
      <c r="G74" s="31" t="s">
        <v>25</v>
      </c>
      <c r="H74" s="52">
        <v>0.05</v>
      </c>
    </row>
    <row r="75" spans="2:11" ht="13.5" thickBot="1">
      <c r="G75" s="32" t="s">
        <v>23</v>
      </c>
      <c r="H75" s="55" t="str">
        <f>IF(H73&lt;H74,"Signficant","No significance")</f>
        <v>No significance</v>
      </c>
    </row>
    <row r="76" spans="2:11" ht="13" thickTop="1"/>
    <row r="77" spans="2:11" ht="13">
      <c r="B77" s="61" t="s">
        <v>33</v>
      </c>
      <c r="C77" s="62"/>
      <c r="D77" s="62"/>
      <c r="E77" s="62"/>
      <c r="F77" s="62"/>
      <c r="G77" s="62"/>
      <c r="H77" s="62"/>
      <c r="I77" s="62"/>
      <c r="J77" s="62"/>
      <c r="K77" s="62"/>
    </row>
    <row r="78" spans="2:11" ht="13" thickBot="1">
      <c r="B78" s="57" t="s">
        <v>28</v>
      </c>
      <c r="C78" s="57"/>
      <c r="D78" s="57"/>
      <c r="E78" s="57"/>
      <c r="F78" s="57"/>
      <c r="G78" s="57"/>
      <c r="H78" s="57"/>
      <c r="I78" s="57"/>
      <c r="J78" s="57"/>
      <c r="K78" s="57"/>
    </row>
    <row r="79" spans="2:11" ht="14" thickTop="1" thickBot="1">
      <c r="C79" s="58" t="s">
        <v>37</v>
      </c>
      <c r="D79" s="59"/>
      <c r="E79" s="60"/>
      <c r="G79" s="58" t="s">
        <v>19</v>
      </c>
      <c r="H79" s="59"/>
      <c r="I79" s="59"/>
      <c r="J79" s="60"/>
    </row>
    <row r="80" spans="2:11" ht="14" thickTop="1" thickBot="1">
      <c r="C80" s="8" t="s">
        <v>14</v>
      </c>
      <c r="D80" s="9" t="s">
        <v>15</v>
      </c>
      <c r="E80" s="10" t="s">
        <v>17</v>
      </c>
      <c r="G80" s="11"/>
      <c r="H80" s="27" t="str">
        <f>C80</f>
        <v>Anonymous</v>
      </c>
      <c r="I80" s="28" t="str">
        <f>D80</f>
        <v>Pseudonymous</v>
      </c>
      <c r="J80" s="29" t="str">
        <f>E80</f>
        <v>Non-Anonymous</v>
      </c>
    </row>
    <row r="81" spans="2:11" ht="13.5" thickTop="1">
      <c r="C81" s="33">
        <v>2</v>
      </c>
      <c r="D81" s="34">
        <v>1</v>
      </c>
      <c r="E81" s="35">
        <v>4</v>
      </c>
      <c r="F81" s="16"/>
      <c r="G81" s="22" t="s">
        <v>6</v>
      </c>
      <c r="H81" s="37">
        <f t="array" ref="H81">MIN(IF(ISBLANK(C81:C90),"",IF(C81:C90&gt;=H82-$C94*(H84-H82),C81:C90,"")))</f>
        <v>3</v>
      </c>
      <c r="I81" s="38">
        <f t="array" ref="I81">MIN(IF(ISBLANK(D81:D90),"",IF(D81:D90&gt;=I82-$C94*(I84-I82),D81:D90,"")))</f>
        <v>3</v>
      </c>
      <c r="J81" s="39">
        <f t="array" ref="J81">MIN(IF(ISBLANK(E81:E90),"",IF(E81:E90&gt;=J82-$C94*(J84-J82),E81:E90,"")))</f>
        <v>4</v>
      </c>
    </row>
    <row r="82" spans="2:11" ht="13">
      <c r="C82" s="33">
        <v>1</v>
      </c>
      <c r="D82" s="34">
        <v>3</v>
      </c>
      <c r="E82" s="35">
        <v>4</v>
      </c>
      <c r="G82" s="23" t="s">
        <v>7</v>
      </c>
      <c r="H82" s="40">
        <f>_xlfn.QUARTILE.INC(C81:C90,1)</f>
        <v>2.25</v>
      </c>
      <c r="I82" s="41">
        <f>_xlfn.QUARTILE.INC(D81:D90,1)</f>
        <v>2.25</v>
      </c>
      <c r="J82" s="42">
        <f>_xlfn.QUARTILE.INC(E81:E90,1)</f>
        <v>3.25</v>
      </c>
    </row>
    <row r="83" spans="2:11" ht="13">
      <c r="C83" s="33">
        <v>3</v>
      </c>
      <c r="D83" s="34">
        <v>3</v>
      </c>
      <c r="E83" s="35">
        <v>3</v>
      </c>
      <c r="G83" s="36" t="s">
        <v>8</v>
      </c>
      <c r="H83" s="43">
        <f>MEDIAN(C81:C90)</f>
        <v>3</v>
      </c>
      <c r="I83" s="44">
        <f>MEDIAN(D81:D90)</f>
        <v>3</v>
      </c>
      <c r="J83" s="45">
        <f>MEDIAN(E81:E90)</f>
        <v>4</v>
      </c>
    </row>
    <row r="84" spans="2:11" ht="13">
      <c r="C84" s="33">
        <v>3</v>
      </c>
      <c r="D84" s="34">
        <v>3</v>
      </c>
      <c r="E84" s="35">
        <v>3</v>
      </c>
      <c r="G84" s="23" t="s">
        <v>9</v>
      </c>
      <c r="H84" s="40">
        <f>_xlfn.QUARTILE.INC(C81:C90,3)</f>
        <v>3</v>
      </c>
      <c r="I84" s="41">
        <f>_xlfn.QUARTILE.INC(D81:D90,3)</f>
        <v>3</v>
      </c>
      <c r="J84" s="42">
        <f>_xlfn.QUARTILE.INC(E81:E90,3)</f>
        <v>4</v>
      </c>
    </row>
    <row r="85" spans="2:11" ht="13">
      <c r="C85" s="33">
        <v>3</v>
      </c>
      <c r="D85" s="34">
        <v>3</v>
      </c>
      <c r="E85" s="35">
        <v>4</v>
      </c>
      <c r="G85" s="23" t="s">
        <v>10</v>
      </c>
      <c r="H85" s="40">
        <f t="array" ref="H85">MAX(IF(ISBLANK(C81:C90),"",IF(C81:C90&lt;=H84+$C94*(H84-H82),C81:C90,"")))</f>
        <v>3</v>
      </c>
      <c r="I85" s="41">
        <f t="array" ref="I85">MAX(IF(ISBLANK(D81:D90),"",IF(D81:D90&lt;=I84+$C94*(I84-I82),D81:D90,"")))</f>
        <v>3</v>
      </c>
      <c r="J85" s="42">
        <f t="array" ref="J85">MAX(IF(ISBLANK(E81:E90),"",IF(E81:E90&lt;=J84+$C94*(J84-J82),E81:E90,"")))</f>
        <v>4</v>
      </c>
    </row>
    <row r="86" spans="2:11" ht="13">
      <c r="C86" s="33">
        <v>4</v>
      </c>
      <c r="D86" s="34">
        <v>2</v>
      </c>
      <c r="E86" s="35">
        <v>4</v>
      </c>
      <c r="G86" s="36" t="s">
        <v>0</v>
      </c>
      <c r="H86" s="43">
        <f>AVERAGE(C81:C90)</f>
        <v>2.6666666666666665</v>
      </c>
      <c r="I86" s="44">
        <f>AVERAGE(D81:D90)</f>
        <v>2.5</v>
      </c>
      <c r="J86" s="45">
        <f>AVERAGE(E81:E90)</f>
        <v>3.6666666666666665</v>
      </c>
    </row>
    <row r="87" spans="2:11" ht="13.5" thickBot="1">
      <c r="C87" s="13"/>
      <c r="D87" s="14"/>
      <c r="E87" s="15"/>
      <c r="G87" s="24" t="s">
        <v>1</v>
      </c>
      <c r="H87" s="46">
        <f>VAR(C81:C90)</f>
        <v>1.0666666666666671</v>
      </c>
      <c r="I87" s="47">
        <f>VAR(D81:D90)</f>
        <v>0.7</v>
      </c>
      <c r="J87" s="48">
        <f>VAR(E81:E90)</f>
        <v>0.26666666666666572</v>
      </c>
    </row>
    <row r="88" spans="2:11" ht="13.5" thickTop="1" thickBot="1">
      <c r="C88" s="13"/>
      <c r="D88" s="14"/>
      <c r="E88" s="15"/>
      <c r="G88" s="56"/>
    </row>
    <row r="89" spans="2:11" ht="14" thickTop="1" thickBot="1">
      <c r="C89" s="13"/>
      <c r="D89" s="14"/>
      <c r="E89" s="15"/>
      <c r="G89" s="58" t="s">
        <v>20</v>
      </c>
      <c r="H89" s="59"/>
      <c r="I89" s="59"/>
      <c r="J89" s="59"/>
      <c r="K89" s="60"/>
    </row>
    <row r="90" spans="2:11" ht="14" thickTop="1" thickBot="1">
      <c r="C90" s="17"/>
      <c r="D90" s="18"/>
      <c r="E90" s="19"/>
      <c r="G90" s="11"/>
      <c r="H90" s="8" t="str">
        <f>C80</f>
        <v>Anonymous</v>
      </c>
      <c r="I90" s="9" t="str">
        <f>D80</f>
        <v>Pseudonymous</v>
      </c>
      <c r="J90" s="10" t="str">
        <f>E80</f>
        <v>Non-Anonymous</v>
      </c>
      <c r="K90" s="20"/>
    </row>
    <row r="91" spans="2:11" ht="14" thickTop="1" thickBot="1">
      <c r="B91" s="21"/>
      <c r="G91" s="22" t="s">
        <v>21</v>
      </c>
      <c r="H91" s="37">
        <f>[1]!RANK_SUM(C81:E90, 1,1)</f>
        <v>48</v>
      </c>
      <c r="I91" s="38">
        <f>[1]!RANK_SUM(C81:E90, 2,1)</f>
        <v>41</v>
      </c>
      <c r="J91" s="39">
        <f>[1]!RANK_SUM(C81:E90, 3,1)</f>
        <v>82</v>
      </c>
      <c r="K91" s="5" t="s">
        <v>26</v>
      </c>
    </row>
    <row r="92" spans="2:11" ht="13.5" thickTop="1">
      <c r="G92" s="23" t="s">
        <v>4</v>
      </c>
      <c r="H92" s="40">
        <f>COUNT(C81:C90)</f>
        <v>6</v>
      </c>
      <c r="I92" s="41">
        <f>COUNT(D81:D90)</f>
        <v>6</v>
      </c>
      <c r="J92" s="42">
        <f>COUNT(E81:E90)</f>
        <v>6</v>
      </c>
      <c r="K92" s="49">
        <f>SUM(H92:J92)</f>
        <v>18</v>
      </c>
    </row>
    <row r="93" spans="2:11" ht="15.5" thickBot="1">
      <c r="G93" s="24" t="s">
        <v>27</v>
      </c>
      <c r="H93" s="46">
        <f>H91^2/H92</f>
        <v>384</v>
      </c>
      <c r="I93" s="47">
        <f t="shared" ref="I93:J93" si="3">I91^2/I92</f>
        <v>280.16666666666669</v>
      </c>
      <c r="J93" s="48">
        <f t="shared" si="3"/>
        <v>1120.6666666666667</v>
      </c>
      <c r="K93" s="50">
        <f>SUM(H93:J93)</f>
        <v>1784.8333333333335</v>
      </c>
    </row>
    <row r="94" spans="2:11" ht="14" thickTop="1" thickBot="1">
      <c r="B94" s="21"/>
    </row>
    <row r="95" spans="2:11" ht="13.5" thickTop="1">
      <c r="G95" s="30" t="s">
        <v>24</v>
      </c>
      <c r="H95" s="51">
        <f>12*K93/(K92*(K92+1))-3*(K92+1)</f>
        <v>5.6257309941520433</v>
      </c>
      <c r="J95" s="21"/>
    </row>
    <row r="96" spans="2:11" ht="13">
      <c r="G96" s="31" t="s">
        <v>22</v>
      </c>
      <c r="H96" s="52">
        <f>H95/(1-[1]!TiesCorrection(C81:E90)/(27*(27^2-1)))</f>
        <v>5.8806301010983066</v>
      </c>
    </row>
    <row r="97" spans="2:11" ht="13">
      <c r="G97" s="31" t="s">
        <v>3</v>
      </c>
      <c r="H97" s="53">
        <f>COUNTA(H90:J90)-1</f>
        <v>2</v>
      </c>
    </row>
    <row r="98" spans="2:11" ht="13">
      <c r="G98" s="31" t="s">
        <v>2</v>
      </c>
      <c r="H98" s="54">
        <f>_xlfn.CHISQ.DIST.RT(H96,H97)</f>
        <v>5.2849075984847269E-2</v>
      </c>
    </row>
    <row r="99" spans="2:11" ht="13">
      <c r="G99" s="31" t="s">
        <v>25</v>
      </c>
      <c r="H99" s="52">
        <v>0.05</v>
      </c>
    </row>
    <row r="100" spans="2:11" ht="13.5" thickBot="1">
      <c r="G100" s="32" t="s">
        <v>23</v>
      </c>
      <c r="H100" s="55" t="str">
        <f>IF(H98&lt;H99,"Signficant","No significance")</f>
        <v>No significance</v>
      </c>
    </row>
    <row r="101" spans="2:11" ht="13" thickTop="1"/>
    <row r="102" spans="2:11" ht="13">
      <c r="B102" s="61" t="s">
        <v>32</v>
      </c>
      <c r="C102" s="62"/>
      <c r="D102" s="62"/>
      <c r="E102" s="62"/>
      <c r="F102" s="62"/>
      <c r="G102" s="62"/>
      <c r="H102" s="62"/>
      <c r="I102" s="62"/>
      <c r="J102" s="62"/>
      <c r="K102" s="62"/>
    </row>
    <row r="103" spans="2:11" ht="13" thickBot="1">
      <c r="B103" s="57" t="s">
        <v>28</v>
      </c>
      <c r="C103" s="57"/>
      <c r="D103" s="57"/>
      <c r="E103" s="57"/>
      <c r="F103" s="57"/>
      <c r="G103" s="57"/>
      <c r="H103" s="57"/>
      <c r="I103" s="57"/>
      <c r="J103" s="57"/>
      <c r="K103" s="57"/>
    </row>
    <row r="104" spans="2:11" ht="14" thickTop="1" thickBot="1">
      <c r="C104" s="58" t="s">
        <v>38</v>
      </c>
      <c r="D104" s="59"/>
      <c r="E104" s="60"/>
      <c r="G104" s="58" t="s">
        <v>19</v>
      </c>
      <c r="H104" s="59"/>
      <c r="I104" s="59"/>
      <c r="J104" s="60"/>
    </row>
    <row r="105" spans="2:11" ht="14" thickTop="1" thickBot="1">
      <c r="C105" s="8" t="s">
        <v>14</v>
      </c>
      <c r="D105" s="9" t="s">
        <v>15</v>
      </c>
      <c r="E105" s="10" t="s">
        <v>17</v>
      </c>
      <c r="G105" s="11"/>
      <c r="H105" s="27" t="str">
        <f>C105</f>
        <v>Anonymous</v>
      </c>
      <c r="I105" s="28" t="str">
        <f>D105</f>
        <v>Pseudonymous</v>
      </c>
      <c r="J105" s="29" t="str">
        <f>E105</f>
        <v>Non-Anonymous</v>
      </c>
    </row>
    <row r="106" spans="2:11" ht="13.5" thickTop="1">
      <c r="C106" s="33">
        <v>1</v>
      </c>
      <c r="D106" s="34">
        <v>3</v>
      </c>
      <c r="E106" s="35">
        <v>4</v>
      </c>
      <c r="F106" s="16"/>
      <c r="G106" s="22" t="s">
        <v>6</v>
      </c>
      <c r="H106" s="37">
        <f t="array" ref="H106">MIN(IF(ISBLANK(C106:C115),"",IF(C106:C115&gt;=H107-$C119*(H109-H107),C106:C115,"")))</f>
        <v>1</v>
      </c>
      <c r="I106" s="38">
        <f t="array" ref="I106">MIN(IF(ISBLANK(D106:D115),"",IF(D106:D115&gt;=I107-$C119*(I109-I107),D106:D115,"")))</f>
        <v>1</v>
      </c>
      <c r="J106" s="39">
        <f t="array" ref="J106">MIN(IF(ISBLANK(E106:E115),"",IF(E106:E115&gt;=J107-$C119*(J109-J107),E106:E115,"")))</f>
        <v>2</v>
      </c>
    </row>
    <row r="107" spans="2:11" ht="13">
      <c r="C107" s="33">
        <v>1</v>
      </c>
      <c r="D107" s="34">
        <v>1</v>
      </c>
      <c r="E107" s="35">
        <v>4</v>
      </c>
      <c r="G107" s="23" t="s">
        <v>7</v>
      </c>
      <c r="H107" s="40">
        <f>_xlfn.QUARTILE.INC(C106:C115,1)</f>
        <v>1</v>
      </c>
      <c r="I107" s="41">
        <f>_xlfn.QUARTILE.INC(D106:D115,1)</f>
        <v>1</v>
      </c>
      <c r="J107" s="42">
        <f>_xlfn.QUARTILE.INC(E106:E115,1)</f>
        <v>2</v>
      </c>
    </row>
    <row r="108" spans="2:11" ht="13">
      <c r="C108" s="33">
        <v>1</v>
      </c>
      <c r="D108" s="34">
        <v>1</v>
      </c>
      <c r="E108" s="35">
        <v>2</v>
      </c>
      <c r="G108" s="36" t="s">
        <v>8</v>
      </c>
      <c r="H108" s="43">
        <f>MEDIAN(C106:C115)</f>
        <v>1</v>
      </c>
      <c r="I108" s="44">
        <f>MEDIAN(D106:D115)</f>
        <v>1</v>
      </c>
      <c r="J108" s="45">
        <f>MEDIAN(E106:E115)</f>
        <v>3</v>
      </c>
    </row>
    <row r="109" spans="2:11" ht="13">
      <c r="C109" s="33">
        <v>3</v>
      </c>
      <c r="D109" s="34">
        <v>3</v>
      </c>
      <c r="E109" s="35">
        <v>2</v>
      </c>
      <c r="G109" s="23" t="s">
        <v>9</v>
      </c>
      <c r="H109" s="40">
        <f>_xlfn.QUARTILE.INC(C106:C115,3)</f>
        <v>2.5</v>
      </c>
      <c r="I109" s="41">
        <f>_xlfn.QUARTILE.INC(D106:D115,3)</f>
        <v>2.5</v>
      </c>
      <c r="J109" s="42">
        <f>_xlfn.QUARTILE.INC(E106:E115,3)</f>
        <v>4</v>
      </c>
    </row>
    <row r="110" spans="2:11" ht="13">
      <c r="C110" s="33">
        <v>1</v>
      </c>
      <c r="D110" s="34">
        <v>1</v>
      </c>
      <c r="E110" s="35">
        <v>2</v>
      </c>
      <c r="G110" s="23" t="s">
        <v>10</v>
      </c>
      <c r="H110" s="40">
        <f t="array" ref="H110">MAX(IF(ISBLANK(C106:C115),"",IF(C106:C115&lt;=H109+$C119*(H109-H107),C106:C115,"")))</f>
        <v>1</v>
      </c>
      <c r="I110" s="41">
        <f t="array" ref="I110">MAX(IF(ISBLANK(D106:D115),"",IF(D106:D115&lt;=I109+$C119*(I109-I107),D106:D115,"")))</f>
        <v>1</v>
      </c>
      <c r="J110" s="42">
        <f t="array" ref="J110">MAX(IF(ISBLANK(E106:E115),"",IF(E106:E115&lt;=J109+$C119*(J109-J107),E106:E115,"")))</f>
        <v>4</v>
      </c>
    </row>
    <row r="111" spans="2:11" ht="13">
      <c r="C111" s="33">
        <v>4</v>
      </c>
      <c r="D111" s="34">
        <v>1</v>
      </c>
      <c r="E111" s="35">
        <v>4</v>
      </c>
      <c r="G111" s="36" t="s">
        <v>0</v>
      </c>
      <c r="H111" s="43">
        <f>AVERAGE(C106:C115)</f>
        <v>1.8333333333333333</v>
      </c>
      <c r="I111" s="44">
        <f>AVERAGE(D106:D115)</f>
        <v>1.6666666666666667</v>
      </c>
      <c r="J111" s="45">
        <f>AVERAGE(E106:E115)</f>
        <v>3</v>
      </c>
    </row>
    <row r="112" spans="2:11" ht="13.5" thickBot="1">
      <c r="C112" s="13"/>
      <c r="D112" s="14"/>
      <c r="E112" s="15"/>
      <c r="G112" s="24" t="s">
        <v>1</v>
      </c>
      <c r="H112" s="46">
        <f>VAR(C106:C115)</f>
        <v>1.7666666666666664</v>
      </c>
      <c r="I112" s="47">
        <f>VAR(D106:D115)</f>
        <v>1.0666666666666664</v>
      </c>
      <c r="J112" s="48">
        <f>VAR(E106:E115)</f>
        <v>1.2</v>
      </c>
    </row>
    <row r="113" spans="2:11" ht="13.5" thickTop="1" thickBot="1">
      <c r="C113" s="13"/>
      <c r="D113" s="14"/>
      <c r="E113" s="15"/>
      <c r="G113" s="56"/>
    </row>
    <row r="114" spans="2:11" ht="14" thickTop="1" thickBot="1">
      <c r="C114" s="13"/>
      <c r="D114" s="14"/>
      <c r="E114" s="15"/>
      <c r="G114" s="58" t="s">
        <v>20</v>
      </c>
      <c r="H114" s="59"/>
      <c r="I114" s="59"/>
      <c r="J114" s="59"/>
      <c r="K114" s="60"/>
    </row>
    <row r="115" spans="2:11" ht="14" thickTop="1" thickBot="1">
      <c r="C115" s="17"/>
      <c r="D115" s="18"/>
      <c r="E115" s="19"/>
      <c r="G115" s="11"/>
      <c r="H115" s="8" t="str">
        <f>C105</f>
        <v>Anonymous</v>
      </c>
      <c r="I115" s="9" t="str">
        <f>D105</f>
        <v>Pseudonymous</v>
      </c>
      <c r="J115" s="10" t="str">
        <f>E105</f>
        <v>Non-Anonymous</v>
      </c>
      <c r="K115" s="20"/>
    </row>
    <row r="116" spans="2:11" ht="14" thickTop="1" thickBot="1">
      <c r="B116" s="21"/>
      <c r="G116" s="22" t="s">
        <v>21</v>
      </c>
      <c r="H116" s="37">
        <f>[1]!RANK_SUM(C106:E115, 1,1)</f>
        <v>47.5</v>
      </c>
      <c r="I116" s="38">
        <f>[1]!RANK_SUM(C106:E115, 2,1)</f>
        <v>44</v>
      </c>
      <c r="J116" s="39">
        <f>[1]!RANK_SUM(C106:E115, 3,1)</f>
        <v>79.5</v>
      </c>
      <c r="K116" s="5" t="s">
        <v>26</v>
      </c>
    </row>
    <row r="117" spans="2:11" ht="13.5" thickTop="1">
      <c r="G117" s="23" t="s">
        <v>4</v>
      </c>
      <c r="H117" s="40">
        <f>COUNT(C106:C115)</f>
        <v>6</v>
      </c>
      <c r="I117" s="41">
        <f>COUNT(D106:D115)</f>
        <v>6</v>
      </c>
      <c r="J117" s="42">
        <f>COUNT(E106:E115)</f>
        <v>6</v>
      </c>
      <c r="K117" s="49">
        <f>SUM(H117:J117)</f>
        <v>18</v>
      </c>
    </row>
    <row r="118" spans="2:11" ht="15.5" thickBot="1">
      <c r="G118" s="24" t="s">
        <v>27</v>
      </c>
      <c r="H118" s="46">
        <f>H116^2/H117</f>
        <v>376.04166666666669</v>
      </c>
      <c r="I118" s="47">
        <f t="shared" ref="I118:J118" si="4">I116^2/I117</f>
        <v>322.66666666666669</v>
      </c>
      <c r="J118" s="48">
        <f t="shared" si="4"/>
        <v>1053.375</v>
      </c>
      <c r="K118" s="50">
        <f>SUM(H118:J118)</f>
        <v>1752.0833333333335</v>
      </c>
    </row>
    <row r="119" spans="2:11" ht="14" thickTop="1" thickBot="1">
      <c r="B119" s="21"/>
    </row>
    <row r="120" spans="2:11" ht="13.5" thickTop="1">
      <c r="G120" s="30" t="s">
        <v>24</v>
      </c>
      <c r="H120" s="51">
        <f>12*K118/(K117*(K117+1))-3*(K117+1)</f>
        <v>4.4766081871345023</v>
      </c>
      <c r="J120" s="21"/>
    </row>
    <row r="121" spans="2:11" ht="13">
      <c r="G121" s="31" t="s">
        <v>22</v>
      </c>
      <c r="H121" s="52">
        <f>H120/(1-[1]!TiesCorrection(C106:E115)/(27*(27^2-1)))</f>
        <v>4.6204689417305067</v>
      </c>
    </row>
    <row r="122" spans="2:11" ht="13">
      <c r="G122" s="31" t="s">
        <v>3</v>
      </c>
      <c r="H122" s="53">
        <f>COUNTA(H115:J115)-1</f>
        <v>2</v>
      </c>
    </row>
    <row r="123" spans="2:11" ht="13">
      <c r="G123" s="31" t="s">
        <v>2</v>
      </c>
      <c r="H123" s="54">
        <f>_xlfn.CHISQ.DIST.RT(H121,H122)</f>
        <v>9.9237980416415489E-2</v>
      </c>
    </row>
    <row r="124" spans="2:11" ht="13">
      <c r="G124" s="31" t="s">
        <v>25</v>
      </c>
      <c r="H124" s="52">
        <v>0.05</v>
      </c>
    </row>
    <row r="125" spans="2:11" ht="13.5" thickBot="1">
      <c r="G125" s="32" t="s">
        <v>23</v>
      </c>
      <c r="H125" s="55" t="str">
        <f>IF(H123&lt;H124,"Signficant","No significance")</f>
        <v>No significance</v>
      </c>
    </row>
    <row r="126" spans="2:11" ht="13" thickTop="1"/>
  </sheetData>
  <mergeCells count="26">
    <mergeCell ref="G14:K14"/>
    <mergeCell ref="B1:K1"/>
    <mergeCell ref="B2:K2"/>
    <mergeCell ref="B3:K3"/>
    <mergeCell ref="C4:E4"/>
    <mergeCell ref="G4:J4"/>
    <mergeCell ref="B78:K78"/>
    <mergeCell ref="B27:K27"/>
    <mergeCell ref="B28:K28"/>
    <mergeCell ref="C29:E29"/>
    <mergeCell ref="G29:J29"/>
    <mergeCell ref="G39:K39"/>
    <mergeCell ref="B52:K52"/>
    <mergeCell ref="B53:K53"/>
    <mergeCell ref="C54:E54"/>
    <mergeCell ref="G54:J54"/>
    <mergeCell ref="G64:K64"/>
    <mergeCell ref="B77:K77"/>
    <mergeCell ref="G114:K114"/>
    <mergeCell ref="C79:E79"/>
    <mergeCell ref="G79:J79"/>
    <mergeCell ref="G89:K89"/>
    <mergeCell ref="B102:K102"/>
    <mergeCell ref="B103:K103"/>
    <mergeCell ref="C104:E104"/>
    <mergeCell ref="G104:J104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46C86-5C83-4242-88B0-CFFD9633C087}">
  <dimension ref="A1:Y126"/>
  <sheetViews>
    <sheetView showGridLines="0" tabSelected="1" zoomScale="80" zoomScaleNormal="80" workbookViewId="0">
      <selection activeCell="T11" sqref="T11"/>
    </sheetView>
  </sheetViews>
  <sheetFormatPr defaultRowHeight="12.5"/>
  <cols>
    <col min="1" max="1" width="6.1796875" style="7" customWidth="1"/>
    <col min="2" max="2" width="6.453125" style="7" customWidth="1"/>
    <col min="3" max="3" width="15.7265625" style="7" customWidth="1"/>
    <col min="4" max="4" width="15.36328125" style="7" customWidth="1"/>
    <col min="5" max="5" width="16" style="7" customWidth="1"/>
    <col min="6" max="6" width="8.7265625" style="7"/>
    <col min="7" max="7" width="16.26953125" style="7" customWidth="1"/>
    <col min="8" max="9" width="15.36328125" style="7" customWidth="1"/>
    <col min="10" max="10" width="15.81640625" style="7" customWidth="1"/>
    <col min="11" max="11" width="12.1796875" style="7" customWidth="1"/>
    <col min="12" max="12" width="14.08984375" style="7" customWidth="1"/>
    <col min="13" max="15" width="18.6328125" style="7" customWidth="1"/>
    <col min="16" max="16" width="8.7265625" style="7"/>
    <col min="17" max="17" width="15.90625" style="7" customWidth="1"/>
    <col min="18" max="18" width="8.7265625" style="7"/>
    <col min="19" max="21" width="15" style="7" customWidth="1"/>
    <col min="22" max="16384" width="8.7265625" style="7"/>
  </cols>
  <sheetData>
    <row r="1" spans="1:25" ht="33.5" customHeight="1">
      <c r="A1" s="6"/>
      <c r="B1" s="63" t="s">
        <v>42</v>
      </c>
      <c r="C1" s="63"/>
      <c r="D1" s="63"/>
      <c r="E1" s="63"/>
      <c r="F1" s="63"/>
      <c r="G1" s="63"/>
      <c r="H1" s="63"/>
      <c r="I1" s="63"/>
      <c r="J1" s="63"/>
      <c r="K1" s="63"/>
    </row>
    <row r="2" spans="1:25" ht="27" customHeight="1">
      <c r="A2" s="6"/>
      <c r="B2" s="61" t="s">
        <v>29</v>
      </c>
      <c r="C2" s="62"/>
      <c r="D2" s="62"/>
      <c r="E2" s="62"/>
      <c r="F2" s="62"/>
      <c r="G2" s="62"/>
      <c r="H2" s="62"/>
      <c r="I2" s="62"/>
      <c r="J2" s="62"/>
      <c r="K2" s="62"/>
    </row>
    <row r="3" spans="1:25" ht="18.5" customHeight="1" thickBot="1">
      <c r="A3" s="6"/>
      <c r="B3" s="57" t="s">
        <v>28</v>
      </c>
      <c r="C3" s="57"/>
      <c r="D3" s="57"/>
      <c r="E3" s="57"/>
      <c r="F3" s="57"/>
      <c r="G3" s="57"/>
      <c r="H3" s="57"/>
      <c r="I3" s="57"/>
      <c r="J3" s="57"/>
      <c r="K3" s="57"/>
    </row>
    <row r="4" spans="1:25" ht="14" thickTop="1" thickBot="1">
      <c r="C4" s="58" t="s">
        <v>18</v>
      </c>
      <c r="D4" s="59"/>
      <c r="E4" s="60"/>
      <c r="G4" s="58" t="s">
        <v>19</v>
      </c>
      <c r="H4" s="59"/>
      <c r="I4" s="59"/>
      <c r="J4" s="60"/>
    </row>
    <row r="5" spans="1:25" ht="14" thickTop="1" thickBot="1">
      <c r="C5" s="8" t="s">
        <v>14</v>
      </c>
      <c r="D5" s="9" t="s">
        <v>15</v>
      </c>
      <c r="E5" s="10" t="s">
        <v>17</v>
      </c>
      <c r="G5" s="11"/>
      <c r="H5" s="27" t="str">
        <f>C5</f>
        <v>Anonymous</v>
      </c>
      <c r="I5" s="28" t="str">
        <f>D5</f>
        <v>Pseudonymous</v>
      </c>
      <c r="J5" s="29" t="str">
        <f>E5</f>
        <v>Non-Anonymous</v>
      </c>
      <c r="S5" s="12"/>
      <c r="T5" s="12"/>
      <c r="U5" s="12"/>
    </row>
    <row r="6" spans="1:25" ht="13.5" thickTop="1">
      <c r="C6" s="33">
        <v>1</v>
      </c>
      <c r="D6" s="34">
        <v>1</v>
      </c>
      <c r="E6" s="35">
        <v>2</v>
      </c>
      <c r="F6" s="16"/>
      <c r="G6" s="22" t="s">
        <v>6</v>
      </c>
      <c r="H6" s="37">
        <f t="array" ref="H6">MIN(IF(ISBLANK(C6:C15),"",IF(C6:C15&gt;=H7-$C19*(H9-H7),C6:C15,"")))</f>
        <v>2</v>
      </c>
      <c r="I6" s="38">
        <f t="array" ref="I6">MIN(IF(ISBLANK(D6:D15),"",IF(D6:D15&gt;=I7-$C19*(I9-I7),D6:D15,"")))</f>
        <v>1</v>
      </c>
      <c r="J6" s="39">
        <f t="array" ref="J6">MIN(IF(ISBLANK(E6:E15),"",IF(E6:E15&gt;=J7-$C19*(J9-J7),E6:E15,"")))</f>
        <v>2</v>
      </c>
    </row>
    <row r="7" spans="1:25" ht="13">
      <c r="C7" s="33">
        <v>2</v>
      </c>
      <c r="D7" s="34">
        <v>1</v>
      </c>
      <c r="E7" s="35">
        <v>3</v>
      </c>
      <c r="G7" s="23" t="s">
        <v>7</v>
      </c>
      <c r="H7" s="40">
        <f>_xlfn.QUARTILE.INC(C6:C15,1)</f>
        <v>1.25</v>
      </c>
      <c r="I7" s="41">
        <f>_xlfn.QUARTILE.INC(D6:D15,1)</f>
        <v>1</v>
      </c>
      <c r="J7" s="42">
        <f>_xlfn.QUARTILE.INC(E6:E15,1)</f>
        <v>2</v>
      </c>
      <c r="W7" s="16"/>
      <c r="X7" s="16"/>
      <c r="Y7" s="16"/>
    </row>
    <row r="8" spans="1:25" ht="13">
      <c r="C8" s="33">
        <v>1</v>
      </c>
      <c r="D8" s="34">
        <v>3</v>
      </c>
      <c r="E8" s="35">
        <v>3</v>
      </c>
      <c r="G8" s="36" t="s">
        <v>8</v>
      </c>
      <c r="H8" s="43">
        <f>MEDIAN(C6:C15)</f>
        <v>2</v>
      </c>
      <c r="I8" s="44">
        <f>MEDIAN(D6:D15)</f>
        <v>1</v>
      </c>
      <c r="J8" s="45">
        <f>MEDIAN(E6:E15)</f>
        <v>2.5</v>
      </c>
    </row>
    <row r="9" spans="1:25" ht="13">
      <c r="C9" s="33">
        <v>2</v>
      </c>
      <c r="D9" s="34">
        <v>1</v>
      </c>
      <c r="E9" s="35">
        <v>1</v>
      </c>
      <c r="G9" s="23" t="s">
        <v>9</v>
      </c>
      <c r="H9" s="40">
        <f>_xlfn.QUARTILE.INC(C6:C15,3)</f>
        <v>2</v>
      </c>
      <c r="I9" s="41">
        <f>_xlfn.QUARTILE.INC(D6:D15,3)</f>
        <v>1.75</v>
      </c>
      <c r="J9" s="42">
        <f>_xlfn.QUARTILE.INC(E6:E15,3)</f>
        <v>3</v>
      </c>
    </row>
    <row r="10" spans="1:25" ht="13">
      <c r="C10" s="33">
        <v>2</v>
      </c>
      <c r="D10" s="34">
        <v>1</v>
      </c>
      <c r="E10" s="35">
        <v>3</v>
      </c>
      <c r="G10" s="23" t="s">
        <v>10</v>
      </c>
      <c r="H10" s="40">
        <f t="array" ref="H10">MAX(IF(ISBLANK(C6:C15),"",IF(C6:C15&lt;=H9+$C19*(H9-H7),C6:C15,"")))</f>
        <v>2</v>
      </c>
      <c r="I10" s="41">
        <f t="array" ref="I10">MAX(IF(ISBLANK(D6:D15),"",IF(D6:D15&lt;=I9+$C19*(I9-I7),D6:D15,"")))</f>
        <v>1</v>
      </c>
      <c r="J10" s="42">
        <f t="array" ref="J10">MAX(IF(ISBLANK(E6:E15),"",IF(E6:E15&lt;=J9+$C19*(J9-J7),E6:E15,"")))</f>
        <v>3</v>
      </c>
    </row>
    <row r="11" spans="1:25" ht="13">
      <c r="C11" s="33">
        <v>2</v>
      </c>
      <c r="D11" s="34">
        <v>2</v>
      </c>
      <c r="E11" s="35">
        <v>2</v>
      </c>
      <c r="G11" s="36" t="s">
        <v>0</v>
      </c>
      <c r="H11" s="43">
        <f>AVERAGE(C6:C15)</f>
        <v>1.6666666666666667</v>
      </c>
      <c r="I11" s="44">
        <f>AVERAGE(D6:D15)</f>
        <v>1.5</v>
      </c>
      <c r="J11" s="45">
        <f>AVERAGE(E6:E15)</f>
        <v>2.3333333333333335</v>
      </c>
    </row>
    <row r="12" spans="1:25" ht="13.5" thickBot="1">
      <c r="C12" s="13"/>
      <c r="D12" s="14"/>
      <c r="E12" s="15"/>
      <c r="G12" s="24" t="s">
        <v>1</v>
      </c>
      <c r="H12" s="46">
        <f>VAR(C6:C15)</f>
        <v>0.26666666666666644</v>
      </c>
      <c r="I12" s="47">
        <f>VAR(D6:D15)</f>
        <v>0.7</v>
      </c>
      <c r="J12" s="48">
        <f>VAR(E6:E15)</f>
        <v>0.66666666666666718</v>
      </c>
    </row>
    <row r="13" spans="1:25" ht="14" thickTop="1" thickBot="1">
      <c r="C13" s="13"/>
      <c r="D13" s="14"/>
      <c r="E13" s="15"/>
      <c r="G13" s="56"/>
      <c r="W13" s="16"/>
      <c r="X13" s="16"/>
      <c r="Y13" s="16"/>
    </row>
    <row r="14" spans="1:25" ht="14" thickTop="1" thickBot="1">
      <c r="C14" s="13"/>
      <c r="D14" s="14"/>
      <c r="E14" s="15"/>
      <c r="G14" s="58" t="s">
        <v>20</v>
      </c>
      <c r="H14" s="59"/>
      <c r="I14" s="59"/>
      <c r="J14" s="59"/>
      <c r="K14" s="60"/>
    </row>
    <row r="15" spans="1:25" ht="14" thickTop="1" thickBot="1">
      <c r="C15" s="17"/>
      <c r="D15" s="18"/>
      <c r="E15" s="19"/>
      <c r="G15" s="11"/>
      <c r="H15" s="8" t="str">
        <f>C5</f>
        <v>Anonymous</v>
      </c>
      <c r="I15" s="9" t="str">
        <f>D5</f>
        <v>Pseudonymous</v>
      </c>
      <c r="J15" s="10" t="str">
        <f>E5</f>
        <v>Non-Anonymous</v>
      </c>
      <c r="K15" s="20"/>
    </row>
    <row r="16" spans="1:25" ht="14" thickTop="1" thickBot="1">
      <c r="B16" s="21"/>
      <c r="G16" s="22" t="s">
        <v>21</v>
      </c>
      <c r="H16" s="37">
        <f>[1]!RANK_SUM(C6:E15, 1,1)</f>
        <v>52</v>
      </c>
      <c r="I16" s="38">
        <f>[1]!RANK_SUM(C6:E15, 2,1)</f>
        <v>43.5</v>
      </c>
      <c r="J16" s="39">
        <f>[1]!RANK_SUM(C6:E15, 3,1)</f>
        <v>75.5</v>
      </c>
      <c r="K16" s="5" t="s">
        <v>26</v>
      </c>
      <c r="R16" s="21"/>
    </row>
    <row r="17" spans="2:23" ht="13.5" thickTop="1">
      <c r="G17" s="23" t="s">
        <v>4</v>
      </c>
      <c r="H17" s="40">
        <f>COUNT(C6:C15)</f>
        <v>6</v>
      </c>
      <c r="I17" s="41">
        <f>COUNT(D6:D15)</f>
        <v>6</v>
      </c>
      <c r="J17" s="42">
        <f>COUNT(E6:E15)</f>
        <v>6</v>
      </c>
      <c r="K17" s="49">
        <f>SUM(H17:J17)</f>
        <v>18</v>
      </c>
    </row>
    <row r="18" spans="2:23" ht="15.5" thickBot="1">
      <c r="G18" s="24" t="s">
        <v>27</v>
      </c>
      <c r="H18" s="46">
        <f>H16^2/H17</f>
        <v>450.66666666666669</v>
      </c>
      <c r="I18" s="47">
        <f t="shared" ref="I18:J18" si="0">I16^2/I17</f>
        <v>315.375</v>
      </c>
      <c r="J18" s="48">
        <f t="shared" si="0"/>
        <v>950.04166666666663</v>
      </c>
      <c r="K18" s="50">
        <f>SUM(H18:J18)</f>
        <v>1716.0833333333335</v>
      </c>
      <c r="R18" s="21"/>
    </row>
    <row r="19" spans="2:23" ht="14" thickTop="1" thickBot="1">
      <c r="B19" s="21"/>
      <c r="R19" s="21"/>
    </row>
    <row r="20" spans="2:23" ht="13.5" thickTop="1">
      <c r="G20" s="30" t="s">
        <v>24</v>
      </c>
      <c r="H20" s="51">
        <f>12*K18/(K17*(K17+1))-3*(K17+1)</f>
        <v>3.2134502923976598</v>
      </c>
      <c r="J20" s="21"/>
      <c r="R20" s="21"/>
    </row>
    <row r="21" spans="2:23" ht="13">
      <c r="G21" s="31" t="s">
        <v>22</v>
      </c>
      <c r="H21" s="52">
        <f>H20/(1-[1]!TiesCorrection(C6:E15)/(27*(27^2-1)))</f>
        <v>3.3377498915328894</v>
      </c>
      <c r="R21" s="21"/>
    </row>
    <row r="22" spans="2:23" ht="13">
      <c r="G22" s="31" t="s">
        <v>3</v>
      </c>
      <c r="H22" s="53">
        <f>COUNTA(H15:J15)-1</f>
        <v>2</v>
      </c>
      <c r="R22" s="21"/>
    </row>
    <row r="23" spans="2:23" ht="13">
      <c r="G23" s="31" t="s">
        <v>2</v>
      </c>
      <c r="H23" s="54">
        <f>_xlfn.CHISQ.DIST.RT(H21,H22)</f>
        <v>0.18845897297817094</v>
      </c>
      <c r="R23" s="21"/>
      <c r="V23" s="25"/>
    </row>
    <row r="24" spans="2:23" ht="13">
      <c r="G24" s="31" t="s">
        <v>25</v>
      </c>
      <c r="H24" s="52">
        <v>0.05</v>
      </c>
    </row>
    <row r="25" spans="2:23" ht="13.5" thickBot="1">
      <c r="G25" s="32" t="s">
        <v>23</v>
      </c>
      <c r="H25" s="55" t="str">
        <f>IF(H23&lt;H24,"Signficant","No significance")</f>
        <v>No significance</v>
      </c>
    </row>
    <row r="26" spans="2:23" ht="13" thickTop="1"/>
    <row r="27" spans="2:23" ht="13">
      <c r="B27" s="61" t="s">
        <v>31</v>
      </c>
      <c r="C27" s="62"/>
      <c r="D27" s="62"/>
      <c r="E27" s="62"/>
      <c r="F27" s="62"/>
      <c r="G27" s="62"/>
      <c r="H27" s="62"/>
      <c r="I27" s="62"/>
      <c r="J27" s="62"/>
      <c r="K27" s="62"/>
    </row>
    <row r="28" spans="2:23" ht="13.5" thickBot="1">
      <c r="B28" s="57" t="s">
        <v>28</v>
      </c>
      <c r="C28" s="57"/>
      <c r="D28" s="57"/>
      <c r="E28" s="57"/>
      <c r="F28" s="57"/>
      <c r="G28" s="57"/>
      <c r="H28" s="57"/>
      <c r="I28" s="57"/>
      <c r="J28" s="57"/>
      <c r="K28" s="57"/>
      <c r="Q28" s="16"/>
      <c r="R28" s="16"/>
      <c r="S28" s="16"/>
      <c r="T28" s="16"/>
      <c r="U28" s="16"/>
      <c r="V28" s="16"/>
      <c r="W28" s="16"/>
    </row>
    <row r="29" spans="2:23" ht="14" thickTop="1" thickBot="1">
      <c r="C29" s="58" t="s">
        <v>35</v>
      </c>
      <c r="D29" s="59"/>
      <c r="E29" s="60"/>
      <c r="G29" s="58" t="s">
        <v>19</v>
      </c>
      <c r="H29" s="59"/>
      <c r="I29" s="59"/>
      <c r="J29" s="60"/>
    </row>
    <row r="30" spans="2:23" ht="14" thickTop="1" thickBot="1">
      <c r="C30" s="8" t="s">
        <v>14</v>
      </c>
      <c r="D30" s="9" t="s">
        <v>15</v>
      </c>
      <c r="E30" s="10" t="s">
        <v>17</v>
      </c>
      <c r="G30" s="11"/>
      <c r="H30" s="27" t="str">
        <f>C30</f>
        <v>Anonymous</v>
      </c>
      <c r="I30" s="28" t="str">
        <f>D30</f>
        <v>Pseudonymous</v>
      </c>
      <c r="J30" s="29" t="str">
        <f>E30</f>
        <v>Non-Anonymous</v>
      </c>
    </row>
    <row r="31" spans="2:23" ht="13.5" thickTop="1">
      <c r="C31" s="33">
        <v>1</v>
      </c>
      <c r="D31" s="34">
        <v>3</v>
      </c>
      <c r="E31" s="35">
        <v>2</v>
      </c>
      <c r="F31" s="16"/>
      <c r="G31" s="22" t="s">
        <v>6</v>
      </c>
      <c r="H31" s="37">
        <f t="array" ref="H31">MIN(IF(ISBLANK(C31:C40),"",IF(C31:C40&gt;=H32-$C44*(H34-H32),C31:C40,"")))</f>
        <v>1</v>
      </c>
      <c r="I31" s="38">
        <f t="array" ref="I31">MIN(IF(ISBLANK(D31:D40),"",IF(D31:D40&gt;=I32-$C44*(I34-I32),D31:D40,"")))</f>
        <v>2</v>
      </c>
      <c r="J31" s="39">
        <f t="array" ref="J31">MIN(IF(ISBLANK(E31:E40),"",IF(E31:E40&gt;=J32-$C44*(J34-J32),E31:E40,"")))</f>
        <v>2</v>
      </c>
    </row>
    <row r="32" spans="2:23" ht="13">
      <c r="C32" s="33">
        <v>2</v>
      </c>
      <c r="D32" s="34">
        <v>1</v>
      </c>
      <c r="E32" s="35">
        <v>1</v>
      </c>
      <c r="G32" s="23" t="s">
        <v>7</v>
      </c>
      <c r="H32" s="40">
        <f>_xlfn.QUARTILE.INC(C31:C40,1)</f>
        <v>1</v>
      </c>
      <c r="I32" s="41">
        <f>_xlfn.QUARTILE.INC(D31:D40,1)</f>
        <v>2</v>
      </c>
      <c r="J32" s="42">
        <f>_xlfn.QUARTILE.INC(E31:E40,1)</f>
        <v>2</v>
      </c>
    </row>
    <row r="33" spans="2:25" ht="13">
      <c r="C33" s="33">
        <v>1</v>
      </c>
      <c r="D33" s="34">
        <v>3</v>
      </c>
      <c r="E33" s="35">
        <v>2</v>
      </c>
      <c r="G33" s="36" t="s">
        <v>8</v>
      </c>
      <c r="H33" s="43">
        <f>MEDIAN(C31:C40)</f>
        <v>1.5</v>
      </c>
      <c r="I33" s="44">
        <f>MEDIAN(D31:D40)</f>
        <v>2.5</v>
      </c>
      <c r="J33" s="45">
        <f>MEDIAN(E31:E40)</f>
        <v>2</v>
      </c>
    </row>
    <row r="34" spans="2:25" ht="13">
      <c r="C34" s="33">
        <v>2</v>
      </c>
      <c r="D34" s="34">
        <v>2</v>
      </c>
      <c r="E34" s="35">
        <v>2</v>
      </c>
      <c r="G34" s="23" t="s">
        <v>9</v>
      </c>
      <c r="H34" s="40">
        <f>_xlfn.QUARTILE.INC(C31:C40,3)</f>
        <v>2</v>
      </c>
      <c r="I34" s="41">
        <f>_xlfn.QUARTILE.INC(D31:D40,3)</f>
        <v>3</v>
      </c>
      <c r="J34" s="42">
        <f>_xlfn.QUARTILE.INC(E31:E40,3)</f>
        <v>2</v>
      </c>
    </row>
    <row r="35" spans="2:25" ht="13">
      <c r="C35" s="33">
        <v>1</v>
      </c>
      <c r="D35" s="34">
        <v>3</v>
      </c>
      <c r="E35" s="35">
        <v>2</v>
      </c>
      <c r="G35" s="23" t="s">
        <v>10</v>
      </c>
      <c r="H35" s="40">
        <f t="array" ref="H35">MAX(IF(ISBLANK(C31:C40),"",IF(C31:C40&lt;=H34+$C44*(H34-H32),C31:C40,"")))</f>
        <v>2</v>
      </c>
      <c r="I35" s="41">
        <f t="array" ref="I35">MAX(IF(ISBLANK(D31:D40),"",IF(D31:D40&lt;=I34+$C44*(I34-I32),D31:D40,"")))</f>
        <v>3</v>
      </c>
      <c r="J35" s="42">
        <f t="array" ref="J35">MAX(IF(ISBLANK(E31:E40),"",IF(E31:E40&lt;=J34+$C44*(J34-J32),E31:E40,"")))</f>
        <v>2</v>
      </c>
    </row>
    <row r="36" spans="2:25" ht="13">
      <c r="C36" s="33">
        <v>2</v>
      </c>
      <c r="D36" s="34">
        <v>2</v>
      </c>
      <c r="E36" s="35">
        <v>3</v>
      </c>
      <c r="G36" s="36" t="s">
        <v>0</v>
      </c>
      <c r="H36" s="43">
        <f>AVERAGE(C31:C40)</f>
        <v>1.5</v>
      </c>
      <c r="I36" s="44">
        <f>AVERAGE(D31:D40)</f>
        <v>2.3333333333333335</v>
      </c>
      <c r="J36" s="45">
        <f>AVERAGE(E31:E40)</f>
        <v>2</v>
      </c>
    </row>
    <row r="37" spans="2:25" ht="13.5" thickBot="1">
      <c r="C37" s="13"/>
      <c r="D37" s="14"/>
      <c r="E37" s="15"/>
      <c r="G37" s="24" t="s">
        <v>1</v>
      </c>
      <c r="H37" s="46">
        <f>VAR(C31:C40)</f>
        <v>0.3</v>
      </c>
      <c r="I37" s="47">
        <f>VAR(D31:D40)</f>
        <v>0.66666666666666718</v>
      </c>
      <c r="J37" s="48">
        <f>VAR(E31:E40)</f>
        <v>0.4</v>
      </c>
      <c r="Q37" s="16"/>
      <c r="R37" s="16"/>
      <c r="S37" s="16"/>
      <c r="T37" s="16"/>
      <c r="U37" s="16"/>
      <c r="V37" s="16"/>
      <c r="W37" s="16"/>
      <c r="X37" s="16"/>
      <c r="Y37" s="16"/>
    </row>
    <row r="38" spans="2:25" ht="13.5" thickTop="1" thickBot="1">
      <c r="C38" s="13"/>
      <c r="D38" s="14"/>
      <c r="E38" s="15"/>
      <c r="G38" s="56"/>
    </row>
    <row r="39" spans="2:25" ht="14" thickTop="1" thickBot="1">
      <c r="C39" s="13"/>
      <c r="D39" s="14"/>
      <c r="E39" s="15"/>
      <c r="G39" s="58" t="s">
        <v>20</v>
      </c>
      <c r="H39" s="59"/>
      <c r="I39" s="59"/>
      <c r="J39" s="59"/>
      <c r="K39" s="60"/>
    </row>
    <row r="40" spans="2:25" ht="14" thickTop="1" thickBot="1">
      <c r="C40" s="17"/>
      <c r="D40" s="18"/>
      <c r="E40" s="19"/>
      <c r="G40" s="11"/>
      <c r="H40" s="8" t="str">
        <f>C30</f>
        <v>Anonymous</v>
      </c>
      <c r="I40" s="9" t="str">
        <f>D30</f>
        <v>Pseudonymous</v>
      </c>
      <c r="J40" s="10" t="str">
        <f>E30</f>
        <v>Non-Anonymous</v>
      </c>
      <c r="K40" s="20"/>
    </row>
    <row r="41" spans="2:25" ht="14" thickTop="1" thickBot="1">
      <c r="B41" s="21"/>
      <c r="G41" s="22" t="s">
        <v>21</v>
      </c>
      <c r="H41" s="37">
        <f>[1]!RANK_SUM(C31:E40, 1,1)</f>
        <v>39</v>
      </c>
      <c r="I41" s="38">
        <f>[1]!RANK_SUM(C31:E40, 2,1)</f>
        <v>72.5</v>
      </c>
      <c r="J41" s="39">
        <f>[1]!RANK_SUM(C31:E40, 3,1)</f>
        <v>59.5</v>
      </c>
      <c r="K41" s="5" t="s">
        <v>26</v>
      </c>
    </row>
    <row r="42" spans="2:25" ht="13.5" thickTop="1">
      <c r="G42" s="23" t="s">
        <v>4</v>
      </c>
      <c r="H42" s="40">
        <f>COUNT(C31:C40)</f>
        <v>6</v>
      </c>
      <c r="I42" s="41">
        <f>COUNT(D31:D40)</f>
        <v>6</v>
      </c>
      <c r="J42" s="42">
        <f>COUNT(E31:E40)</f>
        <v>6</v>
      </c>
      <c r="K42" s="49">
        <f>SUM(H42:J42)</f>
        <v>18</v>
      </c>
    </row>
    <row r="43" spans="2:25" ht="15.5" thickBot="1">
      <c r="G43" s="24" t="s">
        <v>27</v>
      </c>
      <c r="H43" s="46">
        <f>H41^2/H42</f>
        <v>253.5</v>
      </c>
      <c r="I43" s="47">
        <f t="shared" ref="I43:J43" si="1">I41^2/I42</f>
        <v>876.04166666666663</v>
      </c>
      <c r="J43" s="48">
        <f t="shared" si="1"/>
        <v>590.04166666666663</v>
      </c>
      <c r="K43" s="50">
        <f>SUM(H43:J43)</f>
        <v>1719.583333333333</v>
      </c>
      <c r="Q43" s="16"/>
      <c r="R43" s="16"/>
      <c r="S43" s="16"/>
      <c r="T43" s="16"/>
      <c r="U43" s="16"/>
      <c r="V43" s="16"/>
      <c r="W43" s="16"/>
      <c r="X43" s="16"/>
      <c r="Y43" s="16"/>
    </row>
    <row r="44" spans="2:25" ht="14" thickTop="1" thickBot="1">
      <c r="B44" s="21"/>
    </row>
    <row r="45" spans="2:25" ht="13.5" thickTop="1">
      <c r="G45" s="30" t="s">
        <v>24</v>
      </c>
      <c r="H45" s="51">
        <f>12*K43/(K42*(K42+1))-3*(K42+1)</f>
        <v>3.3362573099415087</v>
      </c>
      <c r="J45" s="21"/>
    </row>
    <row r="46" spans="2:25" ht="13">
      <c r="G46" s="31" t="s">
        <v>22</v>
      </c>
      <c r="H46" s="52">
        <f>H45/(1-[1]!TiesCorrection(C31:E40)/(27*(27^2-1)))</f>
        <v>3.4963464322995463</v>
      </c>
    </row>
    <row r="47" spans="2:25" ht="13">
      <c r="G47" s="31" t="s">
        <v>3</v>
      </c>
      <c r="H47" s="53">
        <f>COUNTA(H40:J40)-1</f>
        <v>2</v>
      </c>
    </row>
    <row r="48" spans="2:25" ht="13">
      <c r="G48" s="31" t="s">
        <v>2</v>
      </c>
      <c r="H48" s="54">
        <f>_xlfn.CHISQ.DIST.RT(H46,H47)</f>
        <v>0.17409168101449474</v>
      </c>
      <c r="L48" s="26"/>
      <c r="M48" s="26"/>
      <c r="N48" s="26"/>
    </row>
    <row r="49" spans="2:23" ht="13">
      <c r="G49" s="31" t="s">
        <v>25</v>
      </c>
      <c r="H49" s="52">
        <v>0.05</v>
      </c>
    </row>
    <row r="50" spans="2:23" ht="13.5" thickBot="1">
      <c r="G50" s="32" t="s">
        <v>23</v>
      </c>
      <c r="H50" s="55" t="str">
        <f>IF(H48&lt;H49,"Signficant","No significance")</f>
        <v>No significance</v>
      </c>
    </row>
    <row r="51" spans="2:23" ht="13.5" thickTop="1">
      <c r="Q51" s="16"/>
      <c r="R51" s="16"/>
      <c r="S51" s="16"/>
      <c r="T51" s="16"/>
      <c r="U51" s="16"/>
    </row>
    <row r="52" spans="2:23" ht="13">
      <c r="B52" s="61" t="s">
        <v>34</v>
      </c>
      <c r="C52" s="62"/>
      <c r="D52" s="62"/>
      <c r="E52" s="62"/>
      <c r="F52" s="62"/>
      <c r="G52" s="62"/>
      <c r="H52" s="62"/>
      <c r="I52" s="62"/>
      <c r="J52" s="62"/>
      <c r="K52" s="62"/>
    </row>
    <row r="53" spans="2:23" ht="13" thickBot="1">
      <c r="B53" s="57" t="s">
        <v>28</v>
      </c>
      <c r="C53" s="57"/>
      <c r="D53" s="57"/>
      <c r="E53" s="57"/>
      <c r="F53" s="57"/>
      <c r="G53" s="57"/>
      <c r="H53" s="57"/>
      <c r="I53" s="57"/>
      <c r="J53" s="57"/>
      <c r="K53" s="57"/>
    </row>
    <row r="54" spans="2:23" ht="14" thickTop="1" thickBot="1">
      <c r="C54" s="58" t="s">
        <v>36</v>
      </c>
      <c r="D54" s="59"/>
      <c r="E54" s="60"/>
      <c r="G54" s="58" t="s">
        <v>19</v>
      </c>
      <c r="H54" s="59"/>
      <c r="I54" s="59"/>
      <c r="J54" s="60"/>
    </row>
    <row r="55" spans="2:23" ht="14" thickTop="1" thickBot="1">
      <c r="C55" s="8" t="s">
        <v>14</v>
      </c>
      <c r="D55" s="9" t="s">
        <v>15</v>
      </c>
      <c r="E55" s="10" t="s">
        <v>17</v>
      </c>
      <c r="G55" s="11"/>
      <c r="H55" s="27" t="str">
        <f>C55</f>
        <v>Anonymous</v>
      </c>
      <c r="I55" s="28" t="str">
        <f>D55</f>
        <v>Pseudonymous</v>
      </c>
      <c r="J55" s="29" t="str">
        <f>E55</f>
        <v>Non-Anonymous</v>
      </c>
    </row>
    <row r="56" spans="2:23" ht="13.5" thickTop="1">
      <c r="C56" s="33">
        <v>2</v>
      </c>
      <c r="D56" s="34">
        <v>1</v>
      </c>
      <c r="E56" s="35">
        <v>1</v>
      </c>
      <c r="F56" s="16"/>
      <c r="G56" s="22" t="s">
        <v>6</v>
      </c>
      <c r="H56" s="37">
        <f t="array" ref="H56">MIN(IF(ISBLANK(C56:C65),"",IF(C56:C65&gt;=H57-$C69*(H59-H57),C56:C65,"")))</f>
        <v>1</v>
      </c>
      <c r="I56" s="38">
        <f t="array" ref="I56">MIN(IF(ISBLANK(D56:D65),"",IF(D56:D65&gt;=I57-$C69*(I59-I57),D56:D65,"")))</f>
        <v>1</v>
      </c>
      <c r="J56" s="39">
        <f t="array" ref="J56">MIN(IF(ISBLANK(E56:E65),"",IF(E56:E65&gt;=J57-$C69*(J59-J57),E56:E65,"")))</f>
        <v>1</v>
      </c>
    </row>
    <row r="57" spans="2:23" ht="13">
      <c r="C57" s="33">
        <v>3</v>
      </c>
      <c r="D57" s="34">
        <v>3</v>
      </c>
      <c r="E57" s="35">
        <v>2</v>
      </c>
      <c r="G57" s="23" t="s">
        <v>7</v>
      </c>
      <c r="H57" s="40">
        <f>_xlfn.QUARTILE.INC(C56:C65,1)</f>
        <v>1</v>
      </c>
      <c r="I57" s="41">
        <f>_xlfn.QUARTILE.INC(D56:D65,1)</f>
        <v>1</v>
      </c>
      <c r="J57" s="42">
        <f>_xlfn.QUARTILE.INC(E56:E65,1)</f>
        <v>1</v>
      </c>
    </row>
    <row r="58" spans="2:23" ht="13">
      <c r="C58" s="33">
        <v>1</v>
      </c>
      <c r="D58" s="34">
        <v>1</v>
      </c>
      <c r="E58" s="35">
        <v>1</v>
      </c>
      <c r="G58" s="36" t="s">
        <v>8</v>
      </c>
      <c r="H58" s="43">
        <f>MEDIAN(C56:C65)</f>
        <v>1.5</v>
      </c>
      <c r="I58" s="44">
        <f>MEDIAN(D56:D65)</f>
        <v>1</v>
      </c>
      <c r="J58" s="45">
        <f>MEDIAN(E56:E65)</f>
        <v>1</v>
      </c>
      <c r="Q58" s="16"/>
      <c r="R58" s="16"/>
      <c r="S58" s="16"/>
      <c r="T58" s="16"/>
      <c r="U58" s="16"/>
      <c r="V58" s="16"/>
      <c r="W58" s="16"/>
    </row>
    <row r="59" spans="2:23" ht="13">
      <c r="C59" s="33">
        <v>3</v>
      </c>
      <c r="D59" s="34">
        <v>1</v>
      </c>
      <c r="E59" s="35">
        <v>1</v>
      </c>
      <c r="G59" s="23" t="s">
        <v>9</v>
      </c>
      <c r="H59" s="40">
        <f>_xlfn.QUARTILE.INC(C56:C65,3)</f>
        <v>2.75</v>
      </c>
      <c r="I59" s="41">
        <f>_xlfn.QUARTILE.INC(D56:D65,3)</f>
        <v>1.75</v>
      </c>
      <c r="J59" s="42">
        <f>_xlfn.QUARTILE.INC(E56:E65,3)</f>
        <v>1</v>
      </c>
    </row>
    <row r="60" spans="2:23" ht="13">
      <c r="C60" s="33">
        <v>1</v>
      </c>
      <c r="D60" s="34">
        <v>1</v>
      </c>
      <c r="E60" s="35">
        <v>1</v>
      </c>
      <c r="G60" s="23" t="s">
        <v>10</v>
      </c>
      <c r="H60" s="40">
        <f t="array" ref="H60">MAX(IF(ISBLANK(C56:C65),"",IF(C56:C65&lt;=H59+$C69*(H59-H57),C56:C65,"")))</f>
        <v>2</v>
      </c>
      <c r="I60" s="41">
        <f t="array" ref="I60">MAX(IF(ISBLANK(D56:D65),"",IF(D56:D65&lt;=I59+$C69*(I59-I57),D56:D65,"")))</f>
        <v>1</v>
      </c>
      <c r="J60" s="42">
        <f t="array" ref="J60">MAX(IF(ISBLANK(E56:E65),"",IF(E56:E65&lt;=J59+$C69*(J59-J57),E56:E65,"")))</f>
        <v>1</v>
      </c>
    </row>
    <row r="61" spans="2:23" ht="13">
      <c r="C61" s="33">
        <v>1</v>
      </c>
      <c r="D61" s="34">
        <v>2</v>
      </c>
      <c r="E61" s="35">
        <v>1</v>
      </c>
      <c r="G61" s="36" t="s">
        <v>0</v>
      </c>
      <c r="H61" s="43">
        <f>AVERAGE(C56:C65)</f>
        <v>1.8333333333333333</v>
      </c>
      <c r="I61" s="44">
        <f>AVERAGE(D56:D65)</f>
        <v>1.5</v>
      </c>
      <c r="J61" s="45">
        <f>AVERAGE(E56:E65)</f>
        <v>1.1666666666666667</v>
      </c>
    </row>
    <row r="62" spans="2:23" ht="13.5" thickBot="1">
      <c r="C62" s="13"/>
      <c r="D62" s="14"/>
      <c r="E62" s="15"/>
      <c r="G62" s="24" t="s">
        <v>1</v>
      </c>
      <c r="H62" s="46">
        <f>VAR(C56:C65)</f>
        <v>0.96666666666666645</v>
      </c>
      <c r="I62" s="47">
        <f>VAR(D56:D65)</f>
        <v>0.7</v>
      </c>
      <c r="J62" s="48">
        <f>VAR(E56:E65)</f>
        <v>0.1666666666666668</v>
      </c>
    </row>
    <row r="63" spans="2:23" ht="13.5" thickTop="1" thickBot="1">
      <c r="C63" s="13"/>
      <c r="D63" s="14"/>
      <c r="E63" s="15"/>
      <c r="G63" s="56"/>
    </row>
    <row r="64" spans="2:23" ht="14" thickTop="1" thickBot="1">
      <c r="C64" s="13"/>
      <c r="D64" s="14"/>
      <c r="E64" s="15"/>
      <c r="G64" s="58" t="s">
        <v>20</v>
      </c>
      <c r="H64" s="59"/>
      <c r="I64" s="59"/>
      <c r="J64" s="59"/>
      <c r="K64" s="60"/>
    </row>
    <row r="65" spans="2:11" ht="14" thickTop="1" thickBot="1">
      <c r="C65" s="17"/>
      <c r="D65" s="18"/>
      <c r="E65" s="19"/>
      <c r="G65" s="11"/>
      <c r="H65" s="8" t="str">
        <f>C55</f>
        <v>Anonymous</v>
      </c>
      <c r="I65" s="9" t="str">
        <f>D55</f>
        <v>Pseudonymous</v>
      </c>
      <c r="J65" s="10" t="str">
        <f>E55</f>
        <v>Non-Anonymous</v>
      </c>
      <c r="K65" s="20"/>
    </row>
    <row r="66" spans="2:11" ht="14" thickTop="1" thickBot="1">
      <c r="B66" s="21"/>
      <c r="G66" s="22" t="s">
        <v>21</v>
      </c>
      <c r="H66" s="37">
        <f>[1]!RANK_SUM(C56:E65, 1,1)</f>
        <v>67.5</v>
      </c>
      <c r="I66" s="38">
        <f>[1]!RANK_SUM(C56:E65, 2,1)</f>
        <v>57</v>
      </c>
      <c r="J66" s="39">
        <f>[1]!RANK_SUM(C56:E65, 3,1)</f>
        <v>46.5</v>
      </c>
      <c r="K66" s="5" t="s">
        <v>26</v>
      </c>
    </row>
    <row r="67" spans="2:11" ht="13.5" thickTop="1">
      <c r="G67" s="23" t="s">
        <v>4</v>
      </c>
      <c r="H67" s="40">
        <f>COUNT(C56:C65)</f>
        <v>6</v>
      </c>
      <c r="I67" s="41">
        <f>COUNT(D56:D65)</f>
        <v>6</v>
      </c>
      <c r="J67" s="42">
        <f>COUNT(E56:E65)</f>
        <v>6</v>
      </c>
      <c r="K67" s="49">
        <f>SUM(H67:J67)</f>
        <v>18</v>
      </c>
    </row>
    <row r="68" spans="2:11" ht="15.5" thickBot="1">
      <c r="G68" s="24" t="s">
        <v>27</v>
      </c>
      <c r="H68" s="46">
        <f>H66^2/H67</f>
        <v>759.375</v>
      </c>
      <c r="I68" s="47">
        <f t="shared" ref="I68:J68" si="2">I66^2/I67</f>
        <v>541.5</v>
      </c>
      <c r="J68" s="48">
        <f t="shared" si="2"/>
        <v>360.375</v>
      </c>
      <c r="K68" s="50">
        <f>SUM(H68:J68)</f>
        <v>1661.25</v>
      </c>
    </row>
    <row r="69" spans="2:11" ht="14" thickTop="1" thickBot="1">
      <c r="B69" s="21"/>
    </row>
    <row r="70" spans="2:11" ht="13.5" thickTop="1">
      <c r="G70" s="30" t="s">
        <v>24</v>
      </c>
      <c r="H70" s="51">
        <f>12*K68/(K67*(K67+1))-3*(K67+1)</f>
        <v>1.2894736842105274</v>
      </c>
      <c r="J70" s="21"/>
    </row>
    <row r="71" spans="2:11" ht="13">
      <c r="G71" s="31" t="s">
        <v>22</v>
      </c>
      <c r="H71" s="52">
        <f>H70/(1-[1]!TiesCorrection(C56:E65)/(27*(27^2-1)))</f>
        <v>1.4166048925129737</v>
      </c>
    </row>
    <row r="72" spans="2:11" ht="13">
      <c r="G72" s="31" t="s">
        <v>3</v>
      </c>
      <c r="H72" s="53">
        <f>COUNTA(H65:J65)-1</f>
        <v>2</v>
      </c>
    </row>
    <row r="73" spans="2:11" ht="13">
      <c r="G73" s="31" t="s">
        <v>2</v>
      </c>
      <c r="H73" s="54">
        <f>_xlfn.CHISQ.DIST.RT(H71,H72)</f>
        <v>0.49247949869261803</v>
      </c>
    </row>
    <row r="74" spans="2:11" ht="13">
      <c r="G74" s="31" t="s">
        <v>25</v>
      </c>
      <c r="H74" s="52">
        <v>0.05</v>
      </c>
    </row>
    <row r="75" spans="2:11" ht="13.5" thickBot="1">
      <c r="G75" s="32" t="s">
        <v>23</v>
      </c>
      <c r="H75" s="55" t="str">
        <f>IF(H73&lt;H74,"Signficant","No significance")</f>
        <v>No significance</v>
      </c>
    </row>
    <row r="76" spans="2:11" ht="13" thickTop="1"/>
    <row r="77" spans="2:11" ht="13">
      <c r="B77" s="61" t="s">
        <v>33</v>
      </c>
      <c r="C77" s="62"/>
      <c r="D77" s="62"/>
      <c r="E77" s="62"/>
      <c r="F77" s="62"/>
      <c r="G77" s="62"/>
      <c r="H77" s="62"/>
      <c r="I77" s="62"/>
      <c r="J77" s="62"/>
      <c r="K77" s="62"/>
    </row>
    <row r="78" spans="2:11" ht="13" thickBot="1">
      <c r="B78" s="57" t="s">
        <v>28</v>
      </c>
      <c r="C78" s="57"/>
      <c r="D78" s="57"/>
      <c r="E78" s="57"/>
      <c r="F78" s="57"/>
      <c r="G78" s="57"/>
      <c r="H78" s="57"/>
      <c r="I78" s="57"/>
      <c r="J78" s="57"/>
      <c r="K78" s="57"/>
    </row>
    <row r="79" spans="2:11" ht="14" thickTop="1" thickBot="1">
      <c r="C79" s="58" t="s">
        <v>37</v>
      </c>
      <c r="D79" s="59"/>
      <c r="E79" s="60"/>
      <c r="G79" s="58" t="s">
        <v>19</v>
      </c>
      <c r="H79" s="59"/>
      <c r="I79" s="59"/>
      <c r="J79" s="60"/>
    </row>
    <row r="80" spans="2:11" ht="14" thickTop="1" thickBot="1">
      <c r="C80" s="8" t="s">
        <v>14</v>
      </c>
      <c r="D80" s="9" t="s">
        <v>15</v>
      </c>
      <c r="E80" s="10" t="s">
        <v>17</v>
      </c>
      <c r="G80" s="11"/>
      <c r="H80" s="27" t="str">
        <f>C80</f>
        <v>Anonymous</v>
      </c>
      <c r="I80" s="28" t="str">
        <f>D80</f>
        <v>Pseudonymous</v>
      </c>
      <c r="J80" s="29" t="str">
        <f>E80</f>
        <v>Non-Anonymous</v>
      </c>
    </row>
    <row r="81" spans="2:11" ht="13.5" thickTop="1">
      <c r="C81" s="33">
        <v>1</v>
      </c>
      <c r="D81" s="34">
        <v>2</v>
      </c>
      <c r="E81" s="35">
        <v>3</v>
      </c>
      <c r="F81" s="16"/>
      <c r="G81" s="22" t="s">
        <v>6</v>
      </c>
      <c r="H81" s="37">
        <f t="array" ref="H81">MIN(IF(ISBLANK(C81:C90),"",IF(C81:C90&gt;=H82-$C94*(H84-H82),C81:C90,"")))</f>
        <v>3</v>
      </c>
      <c r="I81" s="38">
        <f t="array" ref="I81">MIN(IF(ISBLANK(D81:D90),"",IF(D81:D90&gt;=I82-$C94*(I84-I82),D81:D90,"")))</f>
        <v>3</v>
      </c>
      <c r="J81" s="39">
        <f t="array" ref="J81">MIN(IF(ISBLANK(E81:E90),"",IF(E81:E90&gt;=J82-$C94*(J84-J82),E81:E90,"")))</f>
        <v>3</v>
      </c>
    </row>
    <row r="82" spans="2:11" ht="13">
      <c r="C82" s="33">
        <v>3</v>
      </c>
      <c r="D82" s="34">
        <v>2</v>
      </c>
      <c r="E82" s="35">
        <v>4</v>
      </c>
      <c r="G82" s="23" t="s">
        <v>7</v>
      </c>
      <c r="H82" s="40">
        <f>_xlfn.QUARTILE.INC(C81:C90,1)</f>
        <v>3</v>
      </c>
      <c r="I82" s="41">
        <f>_xlfn.QUARTILE.INC(D81:D90,1)</f>
        <v>2.25</v>
      </c>
      <c r="J82" s="42">
        <f>_xlfn.QUARTILE.INC(E81:E90,1)</f>
        <v>3</v>
      </c>
    </row>
    <row r="83" spans="2:11" ht="13">
      <c r="C83" s="33">
        <v>4</v>
      </c>
      <c r="D83" s="34">
        <v>3</v>
      </c>
      <c r="E83" s="35">
        <v>4</v>
      </c>
      <c r="G83" s="36" t="s">
        <v>8</v>
      </c>
      <c r="H83" s="43">
        <f>MEDIAN(C81:C90)</f>
        <v>3</v>
      </c>
      <c r="I83" s="44">
        <f>MEDIAN(D81:D90)</f>
        <v>3</v>
      </c>
      <c r="J83" s="45">
        <f>MEDIAN(E81:E90)</f>
        <v>3.5</v>
      </c>
    </row>
    <row r="84" spans="2:11" ht="13">
      <c r="C84" s="33">
        <v>3</v>
      </c>
      <c r="D84" s="34">
        <v>4</v>
      </c>
      <c r="E84" s="35">
        <v>3</v>
      </c>
      <c r="G84" s="23" t="s">
        <v>9</v>
      </c>
      <c r="H84" s="40">
        <f>_xlfn.QUARTILE.INC(C81:C90,3)</f>
        <v>3</v>
      </c>
      <c r="I84" s="41">
        <f>_xlfn.QUARTILE.INC(D81:D90,3)</f>
        <v>3.75</v>
      </c>
      <c r="J84" s="42">
        <f>_xlfn.QUARTILE.INC(E81:E90,3)</f>
        <v>4</v>
      </c>
    </row>
    <row r="85" spans="2:11" ht="13">
      <c r="C85" s="33">
        <v>3</v>
      </c>
      <c r="D85" s="34">
        <v>4</v>
      </c>
      <c r="E85" s="35">
        <v>3</v>
      </c>
      <c r="G85" s="23" t="s">
        <v>10</v>
      </c>
      <c r="H85" s="40">
        <f t="array" ref="H85">MAX(IF(ISBLANK(C81:C90),"",IF(C81:C90&lt;=H84+$C94*(H84-H82),C81:C90,"")))</f>
        <v>3</v>
      </c>
      <c r="I85" s="41">
        <f t="array" ref="I85">MAX(IF(ISBLANK(D81:D90),"",IF(D81:D90&lt;=I84+$C94*(I84-I82),D81:D90,"")))</f>
        <v>3</v>
      </c>
      <c r="J85" s="42">
        <f t="array" ref="J85">MAX(IF(ISBLANK(E81:E90),"",IF(E81:E90&lt;=J84+$C94*(J84-J82),E81:E90,"")))</f>
        <v>4</v>
      </c>
    </row>
    <row r="86" spans="2:11" ht="13">
      <c r="C86" s="33">
        <v>3</v>
      </c>
      <c r="D86" s="34">
        <v>3</v>
      </c>
      <c r="E86" s="35">
        <v>4</v>
      </c>
      <c r="G86" s="36" t="s">
        <v>0</v>
      </c>
      <c r="H86" s="43">
        <f>AVERAGE(C81:C90)</f>
        <v>2.8333333333333335</v>
      </c>
      <c r="I86" s="44">
        <f>AVERAGE(D81:D90)</f>
        <v>3</v>
      </c>
      <c r="J86" s="45">
        <f>AVERAGE(E81:E90)</f>
        <v>3.5</v>
      </c>
    </row>
    <row r="87" spans="2:11" ht="13.5" thickBot="1">
      <c r="C87" s="33"/>
      <c r="D87" s="34"/>
      <c r="E87" s="35"/>
      <c r="G87" s="24" t="s">
        <v>1</v>
      </c>
      <c r="H87" s="46">
        <f>VAR(C81:C90)</f>
        <v>0.96666666666666712</v>
      </c>
      <c r="I87" s="47">
        <f>VAR(D81:D90)</f>
        <v>0.8</v>
      </c>
      <c r="J87" s="48">
        <f>VAR(E81:E90)</f>
        <v>0.3</v>
      </c>
    </row>
    <row r="88" spans="2:11" ht="13.5" thickTop="1" thickBot="1">
      <c r="C88" s="13"/>
      <c r="D88" s="14"/>
      <c r="E88" s="15"/>
      <c r="G88" s="56"/>
    </row>
    <row r="89" spans="2:11" ht="14" thickTop="1" thickBot="1">
      <c r="C89" s="13"/>
      <c r="D89" s="14"/>
      <c r="E89" s="15"/>
      <c r="G89" s="58" t="s">
        <v>20</v>
      </c>
      <c r="H89" s="59"/>
      <c r="I89" s="59"/>
      <c r="J89" s="59"/>
      <c r="K89" s="60"/>
    </row>
    <row r="90" spans="2:11" ht="14" thickTop="1" thickBot="1">
      <c r="C90" s="17"/>
      <c r="D90" s="18"/>
      <c r="E90" s="19"/>
      <c r="G90" s="11"/>
      <c r="H90" s="8" t="str">
        <f>C80</f>
        <v>Anonymous</v>
      </c>
      <c r="I90" s="9" t="str">
        <f>D80</f>
        <v>Pseudonymous</v>
      </c>
      <c r="J90" s="10" t="str">
        <f>E80</f>
        <v>Non-Anonymous</v>
      </c>
      <c r="K90" s="20"/>
    </row>
    <row r="91" spans="2:11" ht="14" thickTop="1" thickBot="1">
      <c r="B91" s="21"/>
      <c r="G91" s="22" t="s">
        <v>21</v>
      </c>
      <c r="H91" s="37">
        <f>[1]!RANK_SUM(C81:E90, 1,1)</f>
        <v>48.5</v>
      </c>
      <c r="I91" s="38">
        <f>[1]!RANK_SUM(C81:E90, 2,1)</f>
        <v>52</v>
      </c>
      <c r="J91" s="39">
        <f>[1]!RANK_SUM(C81:E90, 3,1)</f>
        <v>70.5</v>
      </c>
      <c r="K91" s="5" t="s">
        <v>26</v>
      </c>
    </row>
    <row r="92" spans="2:11" ht="13.5" thickTop="1">
      <c r="G92" s="23" t="s">
        <v>4</v>
      </c>
      <c r="H92" s="40">
        <f>COUNT(C81:C90)</f>
        <v>6</v>
      </c>
      <c r="I92" s="41">
        <f>COUNT(D81:D90)</f>
        <v>6</v>
      </c>
      <c r="J92" s="42">
        <f>COUNT(E81:E90)</f>
        <v>6</v>
      </c>
      <c r="K92" s="49">
        <f>SUM(H92:J92)</f>
        <v>18</v>
      </c>
    </row>
    <row r="93" spans="2:11" ht="15.5" thickBot="1">
      <c r="G93" s="24" t="s">
        <v>27</v>
      </c>
      <c r="H93" s="46">
        <f>H91^2/H92</f>
        <v>392.04166666666669</v>
      </c>
      <c r="I93" s="47">
        <f t="shared" ref="I93:J93" si="3">I91^2/I92</f>
        <v>450.66666666666669</v>
      </c>
      <c r="J93" s="48">
        <f t="shared" si="3"/>
        <v>828.375</v>
      </c>
      <c r="K93" s="50">
        <f>SUM(H93:J93)</f>
        <v>1671.0833333333335</v>
      </c>
    </row>
    <row r="94" spans="2:11" ht="14" thickTop="1" thickBot="1">
      <c r="B94" s="21"/>
    </row>
    <row r="95" spans="2:11" ht="13.5" thickTop="1">
      <c r="G95" s="30" t="s">
        <v>24</v>
      </c>
      <c r="H95" s="51">
        <f>12*K93/(K92*(K92+1))-3*(K92+1)</f>
        <v>1.6345029239766049</v>
      </c>
      <c r="J95" s="21"/>
    </row>
    <row r="96" spans="2:11" ht="13">
      <c r="G96" s="31" t="s">
        <v>22</v>
      </c>
      <c r="H96" s="52">
        <f>H95/(1-[1]!TiesCorrection(C81:E90)/(27*(27^2-1)))</f>
        <v>1.7162280701754353</v>
      </c>
    </row>
    <row r="97" spans="2:11" ht="13">
      <c r="G97" s="31" t="s">
        <v>3</v>
      </c>
      <c r="H97" s="53">
        <f>COUNTA(H90:J90)-1</f>
        <v>2</v>
      </c>
    </row>
    <row r="98" spans="2:11" ht="13">
      <c r="G98" s="31" t="s">
        <v>2</v>
      </c>
      <c r="H98" s="54">
        <f>_xlfn.CHISQ.DIST.RT(H96,H97)</f>
        <v>0.42396090419544963</v>
      </c>
    </row>
    <row r="99" spans="2:11" ht="13">
      <c r="G99" s="31" t="s">
        <v>25</v>
      </c>
      <c r="H99" s="52">
        <v>0.05</v>
      </c>
    </row>
    <row r="100" spans="2:11" ht="13.5" thickBot="1">
      <c r="G100" s="32" t="s">
        <v>23</v>
      </c>
      <c r="H100" s="55" t="str">
        <f>IF(H98&lt;H99,"Signficant","No significance")</f>
        <v>No significance</v>
      </c>
    </row>
    <row r="101" spans="2:11" ht="13" thickTop="1"/>
    <row r="102" spans="2:11" ht="13">
      <c r="B102" s="61" t="s">
        <v>32</v>
      </c>
      <c r="C102" s="62"/>
      <c r="D102" s="62"/>
      <c r="E102" s="62"/>
      <c r="F102" s="62"/>
      <c r="G102" s="62"/>
      <c r="H102" s="62"/>
      <c r="I102" s="62"/>
      <c r="J102" s="62"/>
      <c r="K102" s="62"/>
    </row>
    <row r="103" spans="2:11" ht="13" thickBot="1">
      <c r="B103" s="57" t="s">
        <v>28</v>
      </c>
      <c r="C103" s="57"/>
      <c r="D103" s="57"/>
      <c r="E103" s="57"/>
      <c r="F103" s="57"/>
      <c r="G103" s="57"/>
      <c r="H103" s="57"/>
      <c r="I103" s="57"/>
      <c r="J103" s="57"/>
      <c r="K103" s="57"/>
    </row>
    <row r="104" spans="2:11" ht="14" thickTop="1" thickBot="1">
      <c r="C104" s="58" t="s">
        <v>38</v>
      </c>
      <c r="D104" s="59"/>
      <c r="E104" s="60"/>
      <c r="G104" s="58" t="s">
        <v>19</v>
      </c>
      <c r="H104" s="59"/>
      <c r="I104" s="59"/>
      <c r="J104" s="60"/>
    </row>
    <row r="105" spans="2:11" ht="14" thickTop="1" thickBot="1">
      <c r="C105" s="8" t="s">
        <v>14</v>
      </c>
      <c r="D105" s="9" t="s">
        <v>15</v>
      </c>
      <c r="E105" s="10" t="s">
        <v>17</v>
      </c>
      <c r="G105" s="11"/>
      <c r="H105" s="27" t="str">
        <f>C105</f>
        <v>Anonymous</v>
      </c>
      <c r="I105" s="28" t="str">
        <f>D105</f>
        <v>Pseudonymous</v>
      </c>
      <c r="J105" s="29" t="str">
        <f>E105</f>
        <v>Non-Anonymous</v>
      </c>
    </row>
    <row r="106" spans="2:11" ht="13.5" thickTop="1">
      <c r="C106" s="33">
        <v>1</v>
      </c>
      <c r="D106" s="34">
        <v>2</v>
      </c>
      <c r="E106" s="35">
        <v>1</v>
      </c>
      <c r="F106" s="16"/>
      <c r="G106" s="22" t="s">
        <v>6</v>
      </c>
      <c r="H106" s="37">
        <f t="array" ref="H106">MIN(IF(ISBLANK(C106:C115),"",IF(C106:C115&gt;=H107-$C119*(H109-H107),C106:C115,"")))</f>
        <v>1</v>
      </c>
      <c r="I106" s="38">
        <f t="array" ref="I106">MIN(IF(ISBLANK(D106:D115),"",IF(D106:D115&gt;=I107-$C119*(I109-I107),D106:D115,"")))</f>
        <v>1</v>
      </c>
      <c r="J106" s="39">
        <f t="array" ref="J106">MIN(IF(ISBLANK(E106:E115),"",IF(E106:E115&gt;=J107-$C119*(J109-J107),E106:E115,"")))</f>
        <v>1</v>
      </c>
    </row>
    <row r="107" spans="2:11" ht="13">
      <c r="C107" s="33">
        <v>1</v>
      </c>
      <c r="D107" s="34">
        <v>1</v>
      </c>
      <c r="E107" s="35">
        <v>1</v>
      </c>
      <c r="G107" s="23" t="s">
        <v>7</v>
      </c>
      <c r="H107" s="40">
        <f>_xlfn.QUARTILE.INC(C106:C115,1)</f>
        <v>1</v>
      </c>
      <c r="I107" s="41">
        <f>_xlfn.QUARTILE.INC(D106:D115,1)</f>
        <v>1</v>
      </c>
      <c r="J107" s="42">
        <f>_xlfn.QUARTILE.INC(E106:E115,1)</f>
        <v>1</v>
      </c>
    </row>
    <row r="108" spans="2:11" ht="13">
      <c r="C108" s="33">
        <v>1</v>
      </c>
      <c r="D108" s="34">
        <v>1</v>
      </c>
      <c r="E108" s="35">
        <v>1</v>
      </c>
      <c r="G108" s="36" t="s">
        <v>8</v>
      </c>
      <c r="H108" s="43">
        <f>MEDIAN(C106:C115)</f>
        <v>1</v>
      </c>
      <c r="I108" s="44">
        <f>MEDIAN(D106:D115)</f>
        <v>1</v>
      </c>
      <c r="J108" s="45">
        <f>MEDIAN(E106:E115)</f>
        <v>1</v>
      </c>
    </row>
    <row r="109" spans="2:11" ht="13">
      <c r="C109" s="33">
        <v>2</v>
      </c>
      <c r="D109" s="34">
        <v>1</v>
      </c>
      <c r="E109" s="35">
        <v>1</v>
      </c>
      <c r="G109" s="23" t="s">
        <v>9</v>
      </c>
      <c r="H109" s="40">
        <f>_xlfn.QUARTILE.INC(C106:C115,3)</f>
        <v>1</v>
      </c>
      <c r="I109" s="41">
        <f>_xlfn.QUARTILE.INC(D106:D115,3)</f>
        <v>1.75</v>
      </c>
      <c r="J109" s="42">
        <f>_xlfn.QUARTILE.INC(E106:E115,3)</f>
        <v>1</v>
      </c>
    </row>
    <row r="110" spans="2:11" ht="13">
      <c r="C110" s="33">
        <v>1</v>
      </c>
      <c r="D110" s="34">
        <v>1</v>
      </c>
      <c r="E110" s="35">
        <v>1</v>
      </c>
      <c r="G110" s="23" t="s">
        <v>10</v>
      </c>
      <c r="H110" s="40">
        <f t="array" ref="H110">MAX(IF(ISBLANK(C106:C115),"",IF(C106:C115&lt;=H109+$C119*(H109-H107),C106:C115,"")))</f>
        <v>1</v>
      </c>
      <c r="I110" s="41">
        <f t="array" ref="I110">MAX(IF(ISBLANK(D106:D115),"",IF(D106:D115&lt;=I109+$C119*(I109-I107),D106:D115,"")))</f>
        <v>1</v>
      </c>
      <c r="J110" s="42">
        <f t="array" ref="J110">MAX(IF(ISBLANK(E106:E115),"",IF(E106:E115&lt;=J109+$C119*(J109-J107),E106:E115,"")))</f>
        <v>1</v>
      </c>
    </row>
    <row r="111" spans="2:11" ht="13">
      <c r="C111" s="33">
        <v>1</v>
      </c>
      <c r="D111" s="34">
        <v>3</v>
      </c>
      <c r="E111" s="35">
        <v>1</v>
      </c>
      <c r="G111" s="36" t="s">
        <v>0</v>
      </c>
      <c r="H111" s="43">
        <f>AVERAGE(C106:C115)</f>
        <v>1.1666666666666667</v>
      </c>
      <c r="I111" s="44">
        <f>AVERAGE(D106:D115)</f>
        <v>1.5</v>
      </c>
      <c r="J111" s="45">
        <f>AVERAGE(E106:E115)</f>
        <v>1</v>
      </c>
    </row>
    <row r="112" spans="2:11" ht="13.5" thickBot="1">
      <c r="C112" s="13"/>
      <c r="D112" s="14"/>
      <c r="E112" s="15"/>
      <c r="G112" s="24" t="s">
        <v>1</v>
      </c>
      <c r="H112" s="46">
        <f>VAR(C106:C115)</f>
        <v>0.1666666666666668</v>
      </c>
      <c r="I112" s="47">
        <f>VAR(D106:D115)</f>
        <v>0.7</v>
      </c>
      <c r="J112" s="48">
        <f>VAR(E106:E115)</f>
        <v>0</v>
      </c>
    </row>
    <row r="113" spans="2:11" ht="13.5" thickTop="1" thickBot="1">
      <c r="C113" s="13"/>
      <c r="D113" s="14"/>
      <c r="E113" s="15"/>
      <c r="G113" s="56"/>
    </row>
    <row r="114" spans="2:11" ht="14" thickTop="1" thickBot="1">
      <c r="C114" s="13"/>
      <c r="D114" s="14"/>
      <c r="E114" s="15"/>
      <c r="G114" s="58" t="s">
        <v>20</v>
      </c>
      <c r="H114" s="59"/>
      <c r="I114" s="59"/>
      <c r="J114" s="59"/>
      <c r="K114" s="60"/>
    </row>
    <row r="115" spans="2:11" ht="14" thickTop="1" thickBot="1">
      <c r="C115" s="17"/>
      <c r="D115" s="18"/>
      <c r="E115" s="19"/>
      <c r="G115" s="11"/>
      <c r="H115" s="8" t="str">
        <f>C105</f>
        <v>Anonymous</v>
      </c>
      <c r="I115" s="9" t="str">
        <f>D105</f>
        <v>Pseudonymous</v>
      </c>
      <c r="J115" s="10" t="str">
        <f>E105</f>
        <v>Non-Anonymous</v>
      </c>
      <c r="K115" s="20"/>
    </row>
    <row r="116" spans="2:11" ht="14" thickTop="1" thickBot="1">
      <c r="B116" s="21"/>
      <c r="G116" s="22" t="s">
        <v>21</v>
      </c>
      <c r="H116" s="37">
        <f>[1]!RANK_SUM(C106:E115, 1,1)</f>
        <v>56.5</v>
      </c>
      <c r="I116" s="38">
        <f>[1]!RANK_SUM(C106:E115, 2,1)</f>
        <v>66.5</v>
      </c>
      <c r="J116" s="39">
        <f>[1]!RANK_SUM(C106:E115, 3,1)</f>
        <v>48</v>
      </c>
      <c r="K116" s="5" t="s">
        <v>26</v>
      </c>
    </row>
    <row r="117" spans="2:11" ht="13.5" thickTop="1">
      <c r="G117" s="23" t="s">
        <v>4</v>
      </c>
      <c r="H117" s="40">
        <f>COUNT(C106:C115)</f>
        <v>6</v>
      </c>
      <c r="I117" s="41">
        <f>COUNT(D106:D115)</f>
        <v>6</v>
      </c>
      <c r="J117" s="42">
        <f>COUNT(E106:E115)</f>
        <v>6</v>
      </c>
      <c r="K117" s="49">
        <f>SUM(H117:J117)</f>
        <v>18</v>
      </c>
    </row>
    <row r="118" spans="2:11" ht="15.5" thickBot="1">
      <c r="G118" s="24" t="s">
        <v>27</v>
      </c>
      <c r="H118" s="46">
        <f>H116^2/H117</f>
        <v>532.04166666666663</v>
      </c>
      <c r="I118" s="47">
        <f t="shared" ref="I118:J118" si="4">I116^2/I117</f>
        <v>737.04166666666663</v>
      </c>
      <c r="J118" s="48">
        <f t="shared" si="4"/>
        <v>384</v>
      </c>
      <c r="K118" s="50">
        <f>SUM(H118:J118)</f>
        <v>1653.0833333333333</v>
      </c>
    </row>
    <row r="119" spans="2:11" ht="14" thickTop="1" thickBot="1">
      <c r="B119" s="21"/>
    </row>
    <row r="120" spans="2:11" ht="13.5" thickTop="1">
      <c r="G120" s="30" t="s">
        <v>24</v>
      </c>
      <c r="H120" s="51">
        <f>12*K118/(K117*(K117+1))-3*(K117+1)</f>
        <v>1.0029239766081872</v>
      </c>
      <c r="J120" s="21"/>
    </row>
    <row r="121" spans="2:11" ht="13">
      <c r="G121" s="31" t="s">
        <v>22</v>
      </c>
      <c r="H121" s="52">
        <f>H120/(1-[1]!TiesCorrection(C106:E115)/(27*(27^2-1)))</f>
        <v>1.2101579916642438</v>
      </c>
    </row>
    <row r="122" spans="2:11" ht="13">
      <c r="G122" s="31" t="s">
        <v>3</v>
      </c>
      <c r="H122" s="53">
        <f>COUNTA(H115:J115)-1</f>
        <v>2</v>
      </c>
    </row>
    <row r="123" spans="2:11" ht="13">
      <c r="G123" s="31" t="s">
        <v>2</v>
      </c>
      <c r="H123" s="54">
        <f>_xlfn.CHISQ.DIST.RT(H121,H122)</f>
        <v>0.54603129073977708</v>
      </c>
    </row>
    <row r="124" spans="2:11" ht="13">
      <c r="G124" s="31" t="s">
        <v>25</v>
      </c>
      <c r="H124" s="52">
        <v>0.05</v>
      </c>
    </row>
    <row r="125" spans="2:11" ht="13.5" thickBot="1">
      <c r="G125" s="32" t="s">
        <v>23</v>
      </c>
      <c r="H125" s="55" t="str">
        <f>IF(H123&lt;H124,"Signficant","No significance")</f>
        <v>No significance</v>
      </c>
    </row>
    <row r="126" spans="2:11" ht="13" thickTop="1"/>
  </sheetData>
  <mergeCells count="26">
    <mergeCell ref="G14:K14"/>
    <mergeCell ref="B1:K1"/>
    <mergeCell ref="B2:K2"/>
    <mergeCell ref="B3:K3"/>
    <mergeCell ref="C4:E4"/>
    <mergeCell ref="G4:J4"/>
    <mergeCell ref="B78:K78"/>
    <mergeCell ref="B27:K27"/>
    <mergeCell ref="B28:K28"/>
    <mergeCell ref="C29:E29"/>
    <mergeCell ref="G29:J29"/>
    <mergeCell ref="G39:K39"/>
    <mergeCell ref="B52:K52"/>
    <mergeCell ref="B53:K53"/>
    <mergeCell ref="C54:E54"/>
    <mergeCell ref="G54:J54"/>
    <mergeCell ref="G64:K64"/>
    <mergeCell ref="B77:K77"/>
    <mergeCell ref="G114:K114"/>
    <mergeCell ref="C79:E79"/>
    <mergeCell ref="G79:J79"/>
    <mergeCell ref="G89:K89"/>
    <mergeCell ref="B102:K102"/>
    <mergeCell ref="B103:K103"/>
    <mergeCell ref="C104:E104"/>
    <mergeCell ref="G104:J104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Title</vt:lpstr>
      <vt:lpstr>KW Test Post 1</vt:lpstr>
      <vt:lpstr>KW Test Post 2</vt:lpstr>
      <vt:lpstr>KW Test Post 3</vt:lpstr>
      <vt:lpstr>KW Test Post 4</vt:lpstr>
      <vt:lpstr>KW Test Post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Zaiontz</dc:creator>
  <cp:lastModifiedBy>Mink,Skylar (Student)</cp:lastModifiedBy>
  <dcterms:created xsi:type="dcterms:W3CDTF">2024-06-30T12:49:24Z</dcterms:created>
  <dcterms:modified xsi:type="dcterms:W3CDTF">2025-12-08T20:10:07Z</dcterms:modified>
</cp:coreProperties>
</file>