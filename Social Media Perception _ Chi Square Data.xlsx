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yM0\Documents\EASTERN\2025-2026 Semesters (fifth year)\CSC 450 Senior Research\Final Paper\"/>
    </mc:Choice>
  </mc:AlternateContent>
  <xr:revisionPtr revIDLastSave="0" documentId="8_{6AD6AF35-A770-420D-B840-C142CFC54E3A}" xr6:coauthVersionLast="47" xr6:coauthVersionMax="47" xr10:uidLastSave="{00000000-0000-0000-0000-000000000000}"/>
  <bookViews>
    <workbookView xWindow="-110" yWindow="-110" windowWidth="25820" windowHeight="15500" xr2:uid="{C285E1EC-730C-4195-AB1B-32CE17B4FF38}"/>
  </bookViews>
  <sheets>
    <sheet name="Chi Square Test for Anonymity_x0009__x0009_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27" i="1"/>
  <c r="D26" i="1"/>
  <c r="D29" i="1" s="1"/>
  <c r="C28" i="1"/>
  <c r="E28" i="1" s="1"/>
  <c r="C27" i="1"/>
  <c r="E27" i="1" s="1"/>
  <c r="C26" i="1"/>
  <c r="C18" i="1"/>
  <c r="D22" i="1"/>
  <c r="C22" i="1"/>
  <c r="E22" i="1" s="1"/>
  <c r="D18" i="1"/>
  <c r="E18" i="1" s="1"/>
  <c r="D14" i="1"/>
  <c r="C14" i="1"/>
  <c r="E14" i="1" s="1"/>
  <c r="D10" i="1"/>
  <c r="C10" i="1"/>
  <c r="E6" i="1"/>
  <c r="E7" i="1"/>
  <c r="E8" i="1"/>
  <c r="E9" i="1"/>
  <c r="E11" i="1"/>
  <c r="E12" i="1"/>
  <c r="E13" i="1"/>
  <c r="E15" i="1"/>
  <c r="E16" i="1"/>
  <c r="E17" i="1"/>
  <c r="E19" i="1"/>
  <c r="E20" i="1"/>
  <c r="E21" i="1"/>
  <c r="E3" i="1"/>
  <c r="E4" i="1"/>
  <c r="E5" i="1"/>
  <c r="D6" i="1"/>
  <c r="C6" i="1"/>
  <c r="E26" i="1" l="1"/>
  <c r="C29" i="1"/>
  <c r="E10" i="1"/>
  <c r="E29" i="1" l="1"/>
  <c r="C33" i="1"/>
  <c r="D33" i="1"/>
  <c r="C34" i="1"/>
  <c r="E33" i="1" l="1"/>
  <c r="D34" i="1"/>
  <c r="E34" i="1" s="1"/>
  <c r="D35" i="1"/>
  <c r="C35" i="1"/>
  <c r="E35" i="1" s="1"/>
  <c r="E36" i="1" l="1"/>
  <c r="C36" i="1"/>
  <c r="C38" i="1"/>
  <c r="D36" i="1"/>
</calcChain>
</file>

<file path=xl/sharedStrings.xml><?xml version="1.0" encoding="utf-8"?>
<sst xmlns="http://schemas.openxmlformats.org/spreadsheetml/2006/main" count="50" uniqueCount="21">
  <si>
    <t>Anonymous</t>
  </si>
  <si>
    <t>Psuedo-Anonymous</t>
  </si>
  <si>
    <t>Non-Anonymous</t>
  </si>
  <si>
    <t>Column Total</t>
  </si>
  <si>
    <t>Mentions Anonymity</t>
  </si>
  <si>
    <t>No Mention</t>
  </si>
  <si>
    <t>Post 1</t>
  </si>
  <si>
    <t>Post 2</t>
  </si>
  <si>
    <t>Post 3</t>
  </si>
  <si>
    <t>Post 4</t>
  </si>
  <si>
    <t>Post 5</t>
  </si>
  <si>
    <t>Condition</t>
  </si>
  <si>
    <t>Pseudo-Anonymous</t>
  </si>
  <si>
    <t>Mentions</t>
  </si>
  <si>
    <t>No Mentions</t>
  </si>
  <si>
    <t>Row Total</t>
  </si>
  <si>
    <t>Observed</t>
  </si>
  <si>
    <t>Expected</t>
  </si>
  <si>
    <t>CHI SQUARE TEST</t>
  </si>
  <si>
    <t>Chi Square Test for Anonymity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</si>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</sst>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2D53-3929-4C80-9338-064FE082C0F3}">
  <dimension ref="A1:E39"/>
  <sheetViews>
    <sheetView showGridLines="0" tabSelected="1" workbookViewId="0">
      <selection activeCell="G10" sqref="G10"/>
    </sheetView>
  </sheetViews>
  <sheetFormatPr defaultRowHeight="12.5" x14ac:dyDescent="0.35"/>
  <cols>
    <col min="1" max="1" width="8.7265625" style="1"/>
    <col min="2" max="2" width="17" style="1" bestFit="1" customWidth="1"/>
    <col min="3" max="3" width="18.54296875" style="1" bestFit="1" customWidth="1"/>
    <col min="4" max="4" width="11.1796875" style="1" bestFit="1" customWidth="1"/>
    <col min="5" max="5" width="9.54296875" style="1" bestFit="1" customWidth="1"/>
    <col min="6" max="16384" width="8.7265625" style="1"/>
  </cols>
  <sheetData>
    <row r="1" spans="1:5" ht="15.5" x14ac:dyDescent="0.35">
      <c r="A1" s="13" t="s">
        <v>19</v>
      </c>
      <c r="B1" s="13"/>
      <c r="C1" s="13"/>
      <c r="D1" s="13"/>
      <c r="E1" s="13"/>
    </row>
    <row r="2" spans="1:5" s="10" customFormat="1" ht="13" x14ac:dyDescent="0.35">
      <c r="A2" s="3" t="s">
        <v>20</v>
      </c>
      <c r="B2" s="3" t="s">
        <v>11</v>
      </c>
      <c r="C2" s="3" t="s">
        <v>4</v>
      </c>
      <c r="D2" s="3" t="s">
        <v>5</v>
      </c>
      <c r="E2" s="11" t="s">
        <v>15</v>
      </c>
    </row>
    <row r="3" spans="1:5" x14ac:dyDescent="0.35">
      <c r="A3" s="14" t="s">
        <v>6</v>
      </c>
      <c r="B3" s="2" t="s">
        <v>0</v>
      </c>
      <c r="C3" s="8">
        <v>1</v>
      </c>
      <c r="D3" s="8">
        <v>5</v>
      </c>
      <c r="E3" s="8">
        <f>SUM(C3:D3)</f>
        <v>6</v>
      </c>
    </row>
    <row r="4" spans="1:5" x14ac:dyDescent="0.35">
      <c r="A4" s="14"/>
      <c r="B4" s="2" t="s">
        <v>1</v>
      </c>
      <c r="C4" s="8">
        <v>0</v>
      </c>
      <c r="D4" s="8">
        <v>6</v>
      </c>
      <c r="E4" s="8">
        <f>SUM(C4:D4)</f>
        <v>6</v>
      </c>
    </row>
    <row r="5" spans="1:5" x14ac:dyDescent="0.35">
      <c r="A5" s="14"/>
      <c r="B5" s="2" t="s">
        <v>2</v>
      </c>
      <c r="C5" s="8">
        <v>0</v>
      </c>
      <c r="D5" s="8">
        <v>6</v>
      </c>
      <c r="E5" s="8">
        <f>SUM(C5:D5)</f>
        <v>6</v>
      </c>
    </row>
    <row r="6" spans="1:5" ht="13" x14ac:dyDescent="0.35">
      <c r="A6" s="14"/>
      <c r="B6" s="4" t="s">
        <v>3</v>
      </c>
      <c r="C6" s="8">
        <f>SUM(C3:C5)</f>
        <v>1</v>
      </c>
      <c r="D6" s="8">
        <f>SUM(D3:D5)</f>
        <v>17</v>
      </c>
      <c r="E6" s="8">
        <f t="shared" ref="E6:E22" si="0">SUM(C6:D6)</f>
        <v>18</v>
      </c>
    </row>
    <row r="7" spans="1:5" x14ac:dyDescent="0.35">
      <c r="A7" s="14" t="s">
        <v>7</v>
      </c>
      <c r="B7" s="2" t="s">
        <v>0</v>
      </c>
      <c r="C7" s="8">
        <v>4</v>
      </c>
      <c r="D7" s="8">
        <v>2</v>
      </c>
      <c r="E7" s="8">
        <f t="shared" si="0"/>
        <v>6</v>
      </c>
    </row>
    <row r="8" spans="1:5" x14ac:dyDescent="0.35">
      <c r="A8" s="14"/>
      <c r="B8" s="2" t="s">
        <v>1</v>
      </c>
      <c r="C8" s="8">
        <v>1</v>
      </c>
      <c r="D8" s="8">
        <v>5</v>
      </c>
      <c r="E8" s="8">
        <f t="shared" si="0"/>
        <v>6</v>
      </c>
    </row>
    <row r="9" spans="1:5" x14ac:dyDescent="0.35">
      <c r="A9" s="14"/>
      <c r="B9" s="2" t="s">
        <v>2</v>
      </c>
      <c r="C9" s="8">
        <v>2</v>
      </c>
      <c r="D9" s="8">
        <v>4</v>
      </c>
      <c r="E9" s="8">
        <f t="shared" si="0"/>
        <v>6</v>
      </c>
    </row>
    <row r="10" spans="1:5" ht="13" x14ac:dyDescent="0.35">
      <c r="A10" s="14"/>
      <c r="B10" s="4" t="s">
        <v>3</v>
      </c>
      <c r="C10" s="8">
        <f>SUM(C7:C9)</f>
        <v>7</v>
      </c>
      <c r="D10" s="8">
        <f>SUM(D7:D9)</f>
        <v>11</v>
      </c>
      <c r="E10" s="8">
        <f t="shared" si="0"/>
        <v>18</v>
      </c>
    </row>
    <row r="11" spans="1:5" x14ac:dyDescent="0.35">
      <c r="A11" s="14" t="s">
        <v>8</v>
      </c>
      <c r="B11" s="2" t="s">
        <v>0</v>
      </c>
      <c r="C11" s="8">
        <v>5</v>
      </c>
      <c r="D11" s="8">
        <v>1</v>
      </c>
      <c r="E11" s="8">
        <f t="shared" si="0"/>
        <v>6</v>
      </c>
    </row>
    <row r="12" spans="1:5" x14ac:dyDescent="0.35">
      <c r="A12" s="14"/>
      <c r="B12" s="2" t="s">
        <v>1</v>
      </c>
      <c r="C12" s="8">
        <v>1</v>
      </c>
      <c r="D12" s="8">
        <v>5</v>
      </c>
      <c r="E12" s="8">
        <f t="shared" si="0"/>
        <v>6</v>
      </c>
    </row>
    <row r="13" spans="1:5" x14ac:dyDescent="0.35">
      <c r="A13" s="14"/>
      <c r="B13" s="2" t="s">
        <v>2</v>
      </c>
      <c r="C13" s="8">
        <v>2</v>
      </c>
      <c r="D13" s="8">
        <v>4</v>
      </c>
      <c r="E13" s="8">
        <f t="shared" si="0"/>
        <v>6</v>
      </c>
    </row>
    <row r="14" spans="1:5" ht="13" x14ac:dyDescent="0.35">
      <c r="A14" s="14"/>
      <c r="B14" s="4" t="s">
        <v>3</v>
      </c>
      <c r="C14" s="8">
        <f>SUM(C11:C13)</f>
        <v>8</v>
      </c>
      <c r="D14" s="8">
        <f>SUM(D11:D13)</f>
        <v>10</v>
      </c>
      <c r="E14" s="8">
        <f t="shared" si="0"/>
        <v>18</v>
      </c>
    </row>
    <row r="15" spans="1:5" x14ac:dyDescent="0.35">
      <c r="A15" s="14" t="s">
        <v>9</v>
      </c>
      <c r="B15" s="2" t="s">
        <v>0</v>
      </c>
      <c r="C15" s="8">
        <v>1</v>
      </c>
      <c r="D15" s="8">
        <v>5</v>
      </c>
      <c r="E15" s="8">
        <f t="shared" si="0"/>
        <v>6</v>
      </c>
    </row>
    <row r="16" spans="1:5" x14ac:dyDescent="0.35">
      <c r="A16" s="14"/>
      <c r="B16" s="2" t="s">
        <v>1</v>
      </c>
      <c r="C16" s="8">
        <v>0</v>
      </c>
      <c r="D16" s="8">
        <v>6</v>
      </c>
      <c r="E16" s="8">
        <f t="shared" si="0"/>
        <v>6</v>
      </c>
    </row>
    <row r="17" spans="1:5" x14ac:dyDescent="0.35">
      <c r="A17" s="14"/>
      <c r="B17" s="2" t="s">
        <v>2</v>
      </c>
      <c r="C17" s="8">
        <v>3</v>
      </c>
      <c r="D17" s="8">
        <v>3</v>
      </c>
      <c r="E17" s="8">
        <f t="shared" si="0"/>
        <v>6</v>
      </c>
    </row>
    <row r="18" spans="1:5" ht="13" x14ac:dyDescent="0.35">
      <c r="A18" s="14"/>
      <c r="B18" s="4" t="s">
        <v>3</v>
      </c>
      <c r="C18" s="8">
        <f>SUM(C15:C17)</f>
        <v>4</v>
      </c>
      <c r="D18" s="8">
        <f>SUM(D15:D17)</f>
        <v>14</v>
      </c>
      <c r="E18" s="8">
        <f t="shared" si="0"/>
        <v>18</v>
      </c>
    </row>
    <row r="19" spans="1:5" x14ac:dyDescent="0.35">
      <c r="A19" s="14" t="s">
        <v>10</v>
      </c>
      <c r="B19" s="2" t="s">
        <v>0</v>
      </c>
      <c r="C19" s="8">
        <v>2</v>
      </c>
      <c r="D19" s="8">
        <v>4</v>
      </c>
      <c r="E19" s="8">
        <f t="shared" si="0"/>
        <v>6</v>
      </c>
    </row>
    <row r="20" spans="1:5" x14ac:dyDescent="0.35">
      <c r="A20" s="14"/>
      <c r="B20" s="2" t="s">
        <v>1</v>
      </c>
      <c r="C20" s="8">
        <v>0</v>
      </c>
      <c r="D20" s="8">
        <v>6</v>
      </c>
      <c r="E20" s="8">
        <f t="shared" si="0"/>
        <v>6</v>
      </c>
    </row>
    <row r="21" spans="1:5" x14ac:dyDescent="0.35">
      <c r="A21" s="14"/>
      <c r="B21" s="2" t="s">
        <v>2</v>
      </c>
      <c r="C21" s="8">
        <v>3</v>
      </c>
      <c r="D21" s="8">
        <v>3</v>
      </c>
      <c r="E21" s="8">
        <f t="shared" si="0"/>
        <v>6</v>
      </c>
    </row>
    <row r="22" spans="1:5" ht="13" x14ac:dyDescent="0.35">
      <c r="A22" s="14"/>
      <c r="B22" s="4" t="s">
        <v>3</v>
      </c>
      <c r="C22" s="8">
        <f>SUM(C19:C21)</f>
        <v>5</v>
      </c>
      <c r="D22" s="8">
        <f>SUM(D19:D21)</f>
        <v>13</v>
      </c>
      <c r="E22" s="8">
        <f t="shared" si="0"/>
        <v>18</v>
      </c>
    </row>
    <row r="24" spans="1:5" ht="13" x14ac:dyDescent="0.35">
      <c r="B24" s="12" t="s">
        <v>16</v>
      </c>
      <c r="C24" s="12"/>
      <c r="D24" s="12"/>
      <c r="E24" s="12"/>
    </row>
    <row r="25" spans="1:5" ht="13" x14ac:dyDescent="0.35">
      <c r="B25" s="3" t="s">
        <v>11</v>
      </c>
      <c r="C25" s="3" t="s">
        <v>13</v>
      </c>
      <c r="D25" s="3" t="s">
        <v>14</v>
      </c>
      <c r="E25" s="4" t="s">
        <v>15</v>
      </c>
    </row>
    <row r="26" spans="1:5" x14ac:dyDescent="0.35">
      <c r="B26" s="2" t="s">
        <v>0</v>
      </c>
      <c r="C26" s="8">
        <f t="shared" ref="C26:D28" si="1">SUM(C3,C7,C11,C15,C19)</f>
        <v>13</v>
      </c>
      <c r="D26" s="8">
        <f t="shared" si="1"/>
        <v>17</v>
      </c>
      <c r="E26" s="8">
        <f t="shared" ref="E26:E27" si="2">SUM(C26:D26)</f>
        <v>30</v>
      </c>
    </row>
    <row r="27" spans="1:5" x14ac:dyDescent="0.35">
      <c r="B27" s="2" t="s">
        <v>12</v>
      </c>
      <c r="C27" s="8">
        <f t="shared" si="1"/>
        <v>2</v>
      </c>
      <c r="D27" s="8">
        <f t="shared" si="1"/>
        <v>28</v>
      </c>
      <c r="E27" s="8">
        <f t="shared" si="2"/>
        <v>30</v>
      </c>
    </row>
    <row r="28" spans="1:5" x14ac:dyDescent="0.35">
      <c r="B28" s="2" t="s">
        <v>2</v>
      </c>
      <c r="C28" s="8">
        <f t="shared" si="1"/>
        <v>10</v>
      </c>
      <c r="D28" s="8">
        <f t="shared" si="1"/>
        <v>20</v>
      </c>
      <c r="E28" s="8">
        <f>SUM(C28:D28)</f>
        <v>30</v>
      </c>
    </row>
    <row r="29" spans="1:5" ht="13" x14ac:dyDescent="0.35">
      <c r="B29" s="4" t="s">
        <v>3</v>
      </c>
      <c r="C29" s="8">
        <f>SUM(C26:C28)</f>
        <v>25</v>
      </c>
      <c r="D29" s="8">
        <f>SUM(D26:D28)</f>
        <v>65</v>
      </c>
      <c r="E29" s="8">
        <f>SUM(E26:E28)</f>
        <v>90</v>
      </c>
    </row>
    <row r="31" spans="1:5" ht="13" x14ac:dyDescent="0.35">
      <c r="B31" s="12" t="s">
        <v>17</v>
      </c>
      <c r="C31" s="12"/>
      <c r="D31" s="12"/>
      <c r="E31" s="12"/>
    </row>
    <row r="32" spans="1:5" ht="13" x14ac:dyDescent="0.35">
      <c r="B32" s="3" t="s">
        <v>11</v>
      </c>
      <c r="C32" s="3" t="s">
        <v>13</v>
      </c>
      <c r="D32" s="3" t="s">
        <v>14</v>
      </c>
      <c r="E32" s="4" t="s">
        <v>15</v>
      </c>
    </row>
    <row r="33" spans="2:5" x14ac:dyDescent="0.35">
      <c r="B33" s="2" t="s">
        <v>0</v>
      </c>
      <c r="C33" s="9">
        <f>E26*C29/E29</f>
        <v>8.3333333333333339</v>
      </c>
      <c r="D33" s="9">
        <f>E26*D29/E29</f>
        <v>21.666666666666668</v>
      </c>
      <c r="E33" s="9">
        <f t="shared" ref="E33:E34" si="3">SUM(C33:D33)</f>
        <v>30</v>
      </c>
    </row>
    <row r="34" spans="2:5" x14ac:dyDescent="0.35">
      <c r="B34" s="2" t="s">
        <v>12</v>
      </c>
      <c r="C34" s="9">
        <f>E27*C29/E29</f>
        <v>8.3333333333333339</v>
      </c>
      <c r="D34" s="9">
        <f>E27*D29/E29</f>
        <v>21.666666666666668</v>
      </c>
      <c r="E34" s="9">
        <f t="shared" si="3"/>
        <v>30</v>
      </c>
    </row>
    <row r="35" spans="2:5" x14ac:dyDescent="0.35">
      <c r="B35" s="2" t="s">
        <v>2</v>
      </c>
      <c r="C35" s="9">
        <f>E28*C29/E29</f>
        <v>8.3333333333333339</v>
      </c>
      <c r="D35" s="9">
        <f>E28*D29/E29</f>
        <v>21.666666666666668</v>
      </c>
      <c r="E35" s="9">
        <f>SUM(C35:D35)</f>
        <v>30</v>
      </c>
    </row>
    <row r="36" spans="2:5" ht="13" x14ac:dyDescent="0.35">
      <c r="B36" s="4" t="s">
        <v>3</v>
      </c>
      <c r="C36" s="9">
        <f>SUM(C33:C35)</f>
        <v>25</v>
      </c>
      <c r="D36" s="9">
        <f>SUM(D33:D35)</f>
        <v>65</v>
      </c>
      <c r="E36" s="9">
        <f>SUM(E33:E35)</f>
        <v>90</v>
      </c>
    </row>
    <row r="38" spans="2:5" ht="13" x14ac:dyDescent="0.35">
      <c r="B38" s="7" t="s">
        <v>18</v>
      </c>
      <c r="C38" s="5">
        <f>_xlfn.CHISQ.TEST(C26:D28,C33:D35)</f>
        <v>4.6434033903895609E-3</v>
      </c>
    </row>
    <row r="39" spans="2:5" ht="13" x14ac:dyDescent="0.35">
      <c r="B39" s="6"/>
    </row>
  </sheetData>
  <mergeCells count="8">
    <mergeCell ref="B31:E31"/>
    <mergeCell ref="A1:E1"/>
    <mergeCell ref="A3:A6"/>
    <mergeCell ref="A7:A10"/>
    <mergeCell ref="A11:A14"/>
    <mergeCell ref="A15:A18"/>
    <mergeCell ref="A19:A22"/>
    <mergeCell ref="B24:E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826DC4F5113647A3CF96B1509EE2CE" ma:contentTypeVersion="17" ma:contentTypeDescription="Create a new document." ma:contentTypeScope="" ma:versionID="2279b27033d31bcae6f422dcad903b41">
  <xsd:schema xmlns:xsd="http://www.w3.org/2001/XMLSchema" xmlns:xs="http://www.w3.org/2001/XMLSchema" xmlns:p="http://schemas.microsoft.com/office/2006/metadata/properties" xmlns:ns3="46d3b74f-fea1-4799-8fb1-603d9f01bcf5" xmlns:ns4="b6d9b554-a478-405c-bc2b-565de8b74c9d" targetNamespace="http://schemas.microsoft.com/office/2006/metadata/properties" ma:root="true" ma:fieldsID="bf894ba831091a211a6c20cad019ae9f" ns3:_="" ns4:_="">
    <xsd:import namespace="46d3b74f-fea1-4799-8fb1-603d9f01bcf5"/>
    <xsd:import namespace="b6d9b554-a478-405c-bc2b-565de8b74c9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d3b74f-fea1-4799-8fb1-603d9f01b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9b554-a478-405c-bc2b-565de8b74c9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d3b74f-fea1-4799-8fb1-603d9f01bcf5" xsi:nil="true"/>
  </documentManagement>
</p:properties>
</file>

<file path=customXml/itemProps1.xml><?xml version="1.0" encoding="utf-8"?>
<ds:datastoreItem xmlns:ds="http://schemas.openxmlformats.org/officeDocument/2006/customXml" ds:itemID="{8D5F583E-6ABE-4373-B54E-73179D6684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BA769-CEDC-46F2-A465-8F43F541B5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d3b74f-fea1-4799-8fb1-603d9f01bcf5"/>
    <ds:schemaRef ds:uri="b6d9b554-a478-405c-bc2b-565de8b74c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F603FC-85C5-4B57-B632-9EFC4D747B74}">
  <ds:schemaRefs>
    <ds:schemaRef ds:uri="http://purl.org/dc/elements/1.1/"/>
    <ds:schemaRef ds:uri="b6d9b554-a478-405c-bc2b-565de8b74c9d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6d3b74f-fea1-4799-8fb1-603d9f01bcf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Square Test for Anonymity	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Mink,Skylar (Student)</dc:creator>
  <cp:lastModifiedBy>Mink,Skylar (Student)</cp:lastModifiedBy>
  <dcterms:created xsi:type="dcterms:W3CDTF">2025-12-08T22:12:34Z</dcterms:created>
  <dcterms:modified xsi:type="dcterms:W3CDTF">2025-12-14T15:24:08Z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0x01010051826DC4F5113647A3CF96B1509EE2CE</vt:lpwstr>
  </property>
</Properties>
</file>