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kyM0\Documents\EASTERN\2025-2026 Semesters (fifth year)\CSC 450 Senior Research\Final Paper\"/>
    </mc:Choice>
  </mc:AlternateContent>
  <xr:revisionPtr revIDLastSave="0" documentId="13_ncr:1_{F292821E-F1F0-4BC2-A7F5-7069405AC5B3}" xr6:coauthVersionLast="47" xr6:coauthVersionMax="47" xr10:uidLastSave="{00000000-0000-0000-0000-000000000000}"/>
  <bookViews>
    <workbookView xWindow="-90" yWindow="0" windowWidth="12980" windowHeight="15370" xr2:uid="{5B596DA3-9E8E-40E1-964E-3F15AE04C5EF}"/>
  </bookViews>
  <sheets>
    <sheet name="Post 1" sheetId="1" r:id="rId1"/>
    <sheet name="Post 2" sheetId="2" r:id="rId2"/>
    <sheet name="Post 3" sheetId="3" r:id="rId3"/>
    <sheet name="Post 4" sheetId="4" r:id="rId4"/>
    <sheet name="Post 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6" i="5" l="1"/>
  <c r="H46" i="5"/>
  <c r="G46" i="5"/>
  <c r="F46" i="5"/>
  <c r="I46" i="5" s="1"/>
  <c r="E46" i="5"/>
  <c r="D46" i="5"/>
  <c r="H45" i="5"/>
  <c r="G45" i="5"/>
  <c r="F45" i="5"/>
  <c r="E45" i="5"/>
  <c r="D45" i="5"/>
  <c r="I45" i="5" s="1"/>
  <c r="H44" i="5"/>
  <c r="I44" i="5" s="1"/>
  <c r="G44" i="5"/>
  <c r="F44" i="5"/>
  <c r="E44" i="5"/>
  <c r="D44" i="5"/>
  <c r="D46" i="4"/>
  <c r="H46" i="4"/>
  <c r="G46" i="4"/>
  <c r="F46" i="4"/>
  <c r="E46" i="4"/>
  <c r="J46" i="4"/>
  <c r="H45" i="4"/>
  <c r="G45" i="4"/>
  <c r="F45" i="4"/>
  <c r="E45" i="4"/>
  <c r="J45" i="4" s="1"/>
  <c r="D45" i="4"/>
  <c r="H44" i="4"/>
  <c r="G44" i="4"/>
  <c r="F44" i="4"/>
  <c r="E44" i="4"/>
  <c r="D44" i="4"/>
  <c r="J44" i="4" s="1"/>
  <c r="D44" i="3"/>
  <c r="J46" i="3"/>
  <c r="H46" i="3"/>
  <c r="G46" i="3"/>
  <c r="F46" i="3"/>
  <c r="E46" i="3"/>
  <c r="D46" i="3"/>
  <c r="I46" i="3" s="1"/>
  <c r="H45" i="3"/>
  <c r="G45" i="3"/>
  <c r="F45" i="3"/>
  <c r="E45" i="3"/>
  <c r="D45" i="3"/>
  <c r="J45" i="3" s="1"/>
  <c r="H44" i="3"/>
  <c r="G44" i="3"/>
  <c r="F44" i="3"/>
  <c r="E44" i="3"/>
  <c r="J44" i="3"/>
  <c r="F46" i="1"/>
  <c r="D44" i="1"/>
  <c r="E44" i="1"/>
  <c r="F44" i="1"/>
  <c r="G44" i="1"/>
  <c r="J44" i="1" s="1"/>
  <c r="H44" i="1"/>
  <c r="E45" i="1"/>
  <c r="J45" i="1" s="1"/>
  <c r="F45" i="1"/>
  <c r="G45" i="1"/>
  <c r="H45" i="1"/>
  <c r="E46" i="1"/>
  <c r="J46" i="1" s="1"/>
  <c r="G46" i="1"/>
  <c r="I46" i="1" s="1"/>
  <c r="H46" i="1"/>
  <c r="D46" i="1"/>
  <c r="D45" i="1"/>
  <c r="J44" i="2"/>
  <c r="E46" i="2"/>
  <c r="F46" i="2"/>
  <c r="G46" i="2"/>
  <c r="H46" i="2"/>
  <c r="E45" i="2"/>
  <c r="F45" i="2"/>
  <c r="G45" i="2"/>
  <c r="H45" i="2"/>
  <c r="D46" i="2"/>
  <c r="E44" i="2"/>
  <c r="F44" i="2"/>
  <c r="G44" i="2"/>
  <c r="H44" i="2"/>
  <c r="D45" i="2"/>
  <c r="D44" i="2"/>
  <c r="D28" i="2"/>
  <c r="I44" i="1"/>
  <c r="H40" i="5"/>
  <c r="G40" i="5"/>
  <c r="F40" i="5"/>
  <c r="E40" i="5"/>
  <c r="D40" i="5"/>
  <c r="H39" i="5"/>
  <c r="G39" i="5"/>
  <c r="F39" i="5"/>
  <c r="E39" i="5"/>
  <c r="D39" i="5"/>
  <c r="H38" i="5"/>
  <c r="G38" i="5"/>
  <c r="F38" i="5"/>
  <c r="E38" i="5"/>
  <c r="D38" i="5"/>
  <c r="H35" i="5"/>
  <c r="G35" i="5"/>
  <c r="F35" i="5"/>
  <c r="E35" i="5"/>
  <c r="D35" i="5"/>
  <c r="H34" i="5"/>
  <c r="G34" i="5"/>
  <c r="F34" i="5"/>
  <c r="E34" i="5"/>
  <c r="D34" i="5"/>
  <c r="H33" i="5"/>
  <c r="G33" i="5"/>
  <c r="F33" i="5"/>
  <c r="E33" i="5"/>
  <c r="D33" i="5"/>
  <c r="H30" i="5"/>
  <c r="G30" i="5"/>
  <c r="F30" i="5"/>
  <c r="E30" i="5"/>
  <c r="D30" i="5"/>
  <c r="H29" i="5"/>
  <c r="G29" i="5"/>
  <c r="F29" i="5"/>
  <c r="E29" i="5"/>
  <c r="D29" i="5"/>
  <c r="H28" i="5"/>
  <c r="G28" i="5"/>
  <c r="F28" i="5"/>
  <c r="E28" i="5"/>
  <c r="D28" i="5"/>
  <c r="H25" i="5"/>
  <c r="G25" i="5"/>
  <c r="F25" i="5"/>
  <c r="E25" i="5"/>
  <c r="D25" i="5"/>
  <c r="H24" i="5"/>
  <c r="G24" i="5"/>
  <c r="F24" i="5"/>
  <c r="E24" i="5"/>
  <c r="D24" i="5"/>
  <c r="H23" i="5"/>
  <c r="G23" i="5"/>
  <c r="F23" i="5"/>
  <c r="E23" i="5"/>
  <c r="D23" i="5"/>
  <c r="H40" i="4"/>
  <c r="G40" i="4"/>
  <c r="F40" i="4"/>
  <c r="E40" i="4"/>
  <c r="D40" i="4"/>
  <c r="H39" i="4"/>
  <c r="G39" i="4"/>
  <c r="F39" i="4"/>
  <c r="E39" i="4"/>
  <c r="D39" i="4"/>
  <c r="H38" i="4"/>
  <c r="G38" i="4"/>
  <c r="F38" i="4"/>
  <c r="E38" i="4"/>
  <c r="D38" i="4"/>
  <c r="H35" i="4"/>
  <c r="G35" i="4"/>
  <c r="F35" i="4"/>
  <c r="E35" i="4"/>
  <c r="D35" i="4"/>
  <c r="H34" i="4"/>
  <c r="G34" i="4"/>
  <c r="F34" i="4"/>
  <c r="E34" i="4"/>
  <c r="D34" i="4"/>
  <c r="H33" i="4"/>
  <c r="G33" i="4"/>
  <c r="F33" i="4"/>
  <c r="E33" i="4"/>
  <c r="D33" i="4"/>
  <c r="H30" i="4"/>
  <c r="G30" i="4"/>
  <c r="F30" i="4"/>
  <c r="E30" i="4"/>
  <c r="D30" i="4"/>
  <c r="H29" i="4"/>
  <c r="G29" i="4"/>
  <c r="F29" i="4"/>
  <c r="E29" i="4"/>
  <c r="D29" i="4"/>
  <c r="H28" i="4"/>
  <c r="G28" i="4"/>
  <c r="F28" i="4"/>
  <c r="E28" i="4"/>
  <c r="D28" i="4"/>
  <c r="H25" i="4"/>
  <c r="G25" i="4"/>
  <c r="F25" i="4"/>
  <c r="E25" i="4"/>
  <c r="D25" i="4"/>
  <c r="H24" i="4"/>
  <c r="G24" i="4"/>
  <c r="F24" i="4"/>
  <c r="E24" i="4"/>
  <c r="D24" i="4"/>
  <c r="H23" i="4"/>
  <c r="G23" i="4"/>
  <c r="F23" i="4"/>
  <c r="E23" i="4"/>
  <c r="D23" i="4"/>
  <c r="H40" i="3"/>
  <c r="G40" i="3"/>
  <c r="F40" i="3"/>
  <c r="E40" i="3"/>
  <c r="D40" i="3"/>
  <c r="H39" i="3"/>
  <c r="G39" i="3"/>
  <c r="F39" i="3"/>
  <c r="E39" i="3"/>
  <c r="D39" i="3"/>
  <c r="H38" i="3"/>
  <c r="G38" i="3"/>
  <c r="F38" i="3"/>
  <c r="E38" i="3"/>
  <c r="D38" i="3"/>
  <c r="H35" i="3"/>
  <c r="G35" i="3"/>
  <c r="F35" i="3"/>
  <c r="E35" i="3"/>
  <c r="D35" i="3"/>
  <c r="H34" i="3"/>
  <c r="G34" i="3"/>
  <c r="F34" i="3"/>
  <c r="E34" i="3"/>
  <c r="D34" i="3"/>
  <c r="H33" i="3"/>
  <c r="G33" i="3"/>
  <c r="F33" i="3"/>
  <c r="E33" i="3"/>
  <c r="D33" i="3"/>
  <c r="H30" i="3"/>
  <c r="G30" i="3"/>
  <c r="F30" i="3"/>
  <c r="E30" i="3"/>
  <c r="D30" i="3"/>
  <c r="H29" i="3"/>
  <c r="G29" i="3"/>
  <c r="F29" i="3"/>
  <c r="E29" i="3"/>
  <c r="D29" i="3"/>
  <c r="H28" i="3"/>
  <c r="G28" i="3"/>
  <c r="F28" i="3"/>
  <c r="E28" i="3"/>
  <c r="D28" i="3"/>
  <c r="H25" i="3"/>
  <c r="G25" i="3"/>
  <c r="F25" i="3"/>
  <c r="E25" i="3"/>
  <c r="D25" i="3"/>
  <c r="H24" i="3"/>
  <c r="G24" i="3"/>
  <c r="F24" i="3"/>
  <c r="E24" i="3"/>
  <c r="D24" i="3"/>
  <c r="H23" i="3"/>
  <c r="G23" i="3"/>
  <c r="F23" i="3"/>
  <c r="E23" i="3"/>
  <c r="D23" i="3"/>
  <c r="F34" i="2"/>
  <c r="H40" i="2"/>
  <c r="G40" i="2"/>
  <c r="F40" i="2"/>
  <c r="E40" i="2"/>
  <c r="D40" i="2"/>
  <c r="H39" i="2"/>
  <c r="G39" i="2"/>
  <c r="F39" i="2"/>
  <c r="E39" i="2"/>
  <c r="D39" i="2"/>
  <c r="H38" i="2"/>
  <c r="G38" i="2"/>
  <c r="F38" i="2"/>
  <c r="E38" i="2"/>
  <c r="D38" i="2"/>
  <c r="H35" i="2"/>
  <c r="G35" i="2"/>
  <c r="F35" i="2"/>
  <c r="E35" i="2"/>
  <c r="D35" i="2"/>
  <c r="H34" i="2"/>
  <c r="G34" i="2"/>
  <c r="E34" i="2"/>
  <c r="D34" i="2"/>
  <c r="H33" i="2"/>
  <c r="G33" i="2"/>
  <c r="F33" i="2"/>
  <c r="E33" i="2"/>
  <c r="D33" i="2"/>
  <c r="H30" i="2"/>
  <c r="G30" i="2"/>
  <c r="F30" i="2"/>
  <c r="E30" i="2"/>
  <c r="D30" i="2"/>
  <c r="H29" i="2"/>
  <c r="G29" i="2"/>
  <c r="F29" i="2"/>
  <c r="E29" i="2"/>
  <c r="D29" i="2"/>
  <c r="H28" i="2"/>
  <c r="G28" i="2"/>
  <c r="F28" i="2"/>
  <c r="E28" i="2"/>
  <c r="H25" i="2"/>
  <c r="G25" i="2"/>
  <c r="F25" i="2"/>
  <c r="E25" i="2"/>
  <c r="D25" i="2"/>
  <c r="H24" i="2"/>
  <c r="G24" i="2"/>
  <c r="F24" i="2"/>
  <c r="E24" i="2"/>
  <c r="D24" i="2"/>
  <c r="H23" i="2"/>
  <c r="G23" i="2"/>
  <c r="F23" i="2"/>
  <c r="E23" i="2"/>
  <c r="D23" i="2"/>
  <c r="E38" i="1"/>
  <c r="F38" i="1"/>
  <c r="G38" i="1"/>
  <c r="H38" i="1"/>
  <c r="E39" i="1"/>
  <c r="F39" i="1"/>
  <c r="G39" i="1"/>
  <c r="H39" i="1"/>
  <c r="E40" i="1"/>
  <c r="F40" i="1"/>
  <c r="G40" i="1"/>
  <c r="H40" i="1"/>
  <c r="D40" i="1"/>
  <c r="D39" i="1"/>
  <c r="D38" i="1"/>
  <c r="E34" i="1"/>
  <c r="E33" i="1"/>
  <c r="F33" i="1"/>
  <c r="G33" i="1"/>
  <c r="H33" i="1"/>
  <c r="F34" i="1"/>
  <c r="G34" i="1"/>
  <c r="H34" i="1"/>
  <c r="E35" i="1"/>
  <c r="F35" i="1"/>
  <c r="G35" i="1"/>
  <c r="H35" i="1"/>
  <c r="D35" i="1"/>
  <c r="D34" i="1"/>
  <c r="D33" i="1"/>
  <c r="E30" i="1"/>
  <c r="F30" i="1"/>
  <c r="G30" i="1"/>
  <c r="H30" i="1"/>
  <c r="E29" i="1"/>
  <c r="F29" i="1"/>
  <c r="G29" i="1"/>
  <c r="H29" i="1"/>
  <c r="E28" i="1"/>
  <c r="F28" i="1"/>
  <c r="G28" i="1"/>
  <c r="H28" i="1"/>
  <c r="D30" i="1"/>
  <c r="D29" i="1"/>
  <c r="D28" i="1"/>
  <c r="J45" i="5" l="1"/>
  <c r="J44" i="5"/>
  <c r="I44" i="4"/>
  <c r="I45" i="4"/>
  <c r="I46" i="4"/>
  <c r="I44" i="3"/>
  <c r="I45" i="3"/>
  <c r="I45" i="1"/>
  <c r="J46" i="2"/>
  <c r="J45" i="2"/>
  <c r="I44" i="2"/>
  <c r="I45" i="2"/>
  <c r="I46" i="2"/>
  <c r="E25" i="1" l="1"/>
  <c r="F25" i="1"/>
  <c r="G25" i="1"/>
  <c r="H25" i="1"/>
  <c r="D25" i="1"/>
  <c r="E24" i="1"/>
  <c r="F24" i="1"/>
  <c r="G24" i="1"/>
  <c r="H24" i="1"/>
  <c r="D24" i="1"/>
  <c r="E23" i="1"/>
  <c r="F23" i="1"/>
  <c r="G23" i="1"/>
  <c r="H23" i="1"/>
  <c r="D23" i="1"/>
</calcChain>
</file>

<file path=xl/sharedStrings.xml><?xml version="1.0" encoding="utf-8"?>
<sst xmlns="http://schemas.openxmlformats.org/spreadsheetml/2006/main" count="621" uniqueCount="203">
  <si>
    <t>Post 1</t>
  </si>
  <si>
    <t>Respondent ID</t>
  </si>
  <si>
    <t>Group</t>
  </si>
  <si>
    <t>Q2 (Trustworthiness)</t>
  </si>
  <si>
    <t>Q3 (Controversial)</t>
  </si>
  <si>
    <t>Justification</t>
  </si>
  <si>
    <t>P</t>
  </si>
  <si>
    <t>I can relate if I were having a bad week</t>
  </si>
  <si>
    <t>Empathy, Relatability</t>
  </si>
  <si>
    <t>N</t>
  </si>
  <si>
    <t>It seems like this poster is having a tough week and I can emphasize with that</t>
  </si>
  <si>
    <t>Empathy</t>
  </si>
  <si>
    <t>A</t>
  </si>
  <si>
    <t>it makes sense for a real person to post this</t>
  </si>
  <si>
    <t>Percieved as normal</t>
  </si>
  <si>
    <t>post doesn’t add much to anything.  These kinds of post are to be “relatable” but tend to be semi-pointless</t>
  </si>
  <si>
    <t>I don’t know this person so IDK trustworthiness, I fall all the all time so very relevant.  Not controversial, they just posted about falling…</t>
  </si>
  <si>
    <t>Relatability</t>
  </si>
  <si>
    <t>Though people online tend to exaggerate and are capable of making up things for attention, this is a minor and relatable struggle this isn’t unrealistic.  There could be truth to it, but there is no way of verifying</t>
  </si>
  <si>
    <t>Realistic, Relatability, Unverifiable</t>
  </si>
  <si>
    <t>Because it’s a satire post, but I could somewhat relate because today marks the second time of me messing up during a presentation</t>
  </si>
  <si>
    <t>I don’t believe what was posted is something that would be lied about.</t>
  </si>
  <si>
    <t>Realistic</t>
  </si>
  <si>
    <t>Post is informal, it would make sense to appear on a blog or similiar</t>
  </si>
  <si>
    <t>I don’t know this person, I don’t care about this person, not even sure if they go to Eastern and are talking about our library</t>
  </si>
  <si>
    <t>I can relate to being clumsy at times</t>
  </si>
  <si>
    <t>The post seems genuine enough, but I know from firsthand experience bots can be decieving</t>
  </si>
  <si>
    <t>This isn’t in terms of accuracy, it’s an opinion</t>
  </si>
  <si>
    <t>The poster is anon, could be anyone making the statement and validity can’t be confirmed or denied.</t>
  </si>
  <si>
    <t>Anonymous Author, Unverifiable</t>
  </si>
  <si>
    <t>Post 2</t>
  </si>
  <si>
    <t>I don’t understand why a water bottle would smell</t>
  </si>
  <si>
    <t>Not understanding</t>
  </si>
  <si>
    <t>because it is from an anonymous user so it could be fabricated</t>
  </si>
  <si>
    <t>Anonymous User</t>
  </si>
  <si>
    <t>its relatable and water bottles do get a smell if you don’t wash them, so personally experience makes it more accurate to me</t>
  </si>
  <si>
    <t>Personal Experience, Relatability</t>
  </si>
  <si>
    <t>“post doesn’t add much to anything.  These kinds of post are to be ‘relatable’ but tend to be semi-pointless” but this user has slight more relevance.</t>
  </si>
  <si>
    <t>IDK what “suspicious” means, so maybe it smells fine.  The author is “Mitch,” that sounds like an older man.  I don’t trust men.  I think this post is very relevant, I don’t wash my bottle enough.</t>
  </si>
  <si>
    <t>Percived Gender, Relatability</t>
  </si>
  <si>
    <t>Also a minor and “relatable” struggle, though the fact that it is a simple statement that doesn’t appear to be trying to gain anything, whether attention or sympathy, etc, and the use of a “real” name makes it more trustworthy.</t>
  </si>
  <si>
    <t>Innocent, Non-Anonymous User, Relatability</t>
  </si>
  <si>
    <t>The user name is anonymous and has the audacity to make a barbaric post.</t>
  </si>
  <si>
    <t>I rated this post the way I did because I don’t think this is something that a person would lie about however the person who made this post could be confused about the smell making their trustworthiness questionable</t>
  </si>
  <si>
    <t>Post makes you question the word suspicious</t>
  </si>
  <si>
    <t>I don’t know this person, I don’t care about this person, except this time I do know their name</t>
  </si>
  <si>
    <t>This post is too vague for me to relate</t>
  </si>
  <si>
    <t>This post seems very plot (?) end (?) although may be (?), it could also be a post made to make people nervous</t>
  </si>
  <si>
    <t>Personal post from anon user</t>
  </si>
  <si>
    <t>Not a fact, doesn’t matter if it’s a true statement or not poster is still anon</t>
  </si>
  <si>
    <t>Post 3</t>
  </si>
  <si>
    <t>Seems a little random to post something like this</t>
  </si>
  <si>
    <t>Random / Ingenuine content</t>
  </si>
  <si>
    <t>because it seems normal</t>
  </si>
  <si>
    <t>The user could be posting this for attention for desire.  Going out of way to coin post that is strange.</t>
  </si>
  <si>
    <t>Ingenuine content</t>
  </si>
  <si>
    <t>I don’t know if you’d waste time writing about your dating life if you got dates, and I don’t like that they are anonymous.</t>
  </si>
  <si>
    <t>Some people may not see that as a “subtle flex” and find the person to be self centered</t>
  </si>
  <si>
    <t>The “flex” here isn’t actually all too unlikely, getting dates isn’t a big unlikely thing, but societal “showing off” of dating culture is a big thing people like to lie about.  I actually think the fact it’s anonymous makes it more trustworthy in this case.</t>
  </si>
  <si>
    <t>I have no idea how this post could be accurate, author doesn’t use real name, and two different dates in two days is rare.</t>
  </si>
  <si>
    <t>This something that would be lied about.  Also the author of this post used their real name which could be a way to gain recognition more than trying to be truthfull.</t>
  </si>
  <si>
    <t>Behavior depicted by the post is controversial, not uncommon to social media</t>
  </si>
  <si>
    <t>They are anonymous, and it is not relevant to me</t>
  </si>
  <si>
    <t>I don’t get dates</t>
  </si>
  <si>
    <t>Anonymous, bragging about daily “wins,” this is a classic lying post</t>
  </si>
  <si>
    <t>Random username, seems like they’re just saying things</t>
  </si>
  <si>
    <t>Full name as the username can provide some validity but user can still lie</t>
  </si>
  <si>
    <t>Post 4</t>
  </si>
  <si>
    <t>I would be mad if Walmart was closed too.</t>
  </si>
  <si>
    <t>Common ideals, Relatability</t>
  </si>
  <si>
    <t>incoherent</t>
  </si>
  <si>
    <t>I worked at Walmart and rain, snow, earthquake, or anything they never close</t>
  </si>
  <si>
    <t>Personal Experience</t>
  </si>
  <si>
    <t>Depending on the date the person could have insight, but overall, could be for attention</t>
  </si>
  <si>
    <t>Attention-seeking</t>
  </si>
  <si>
    <t>Why tf is Walmart closed today?  Walmart is random like that, Lisa is a name, and I think they’re chill.</t>
  </si>
  <si>
    <t>If Walmart isn’t actually closed this post would be confusing</t>
  </si>
  <si>
    <t>Potentially controversial/confusing</t>
  </si>
  <si>
    <t>The person name is anonymous so I can’t really see them as trustworthy and Walmart could be controversial</t>
  </si>
  <si>
    <t>This post can easily be fact checked so lying about it is unlikely.  Also this post seems reactionary meaning the person is posting the first thing that came to them which is generally authentic.</t>
  </si>
  <si>
    <t>Reactionary</t>
  </si>
  <si>
    <t>The post appears realistic for blog-esque social media</t>
  </si>
  <si>
    <t>They put their name, but again not sure where they are located</t>
  </si>
  <si>
    <t>I tend to shop in Walmart</t>
  </si>
  <si>
    <t>This seems like an average annoyed post, nothing jumps out as a lie or fabrication.</t>
  </si>
  <si>
    <t>Why would someone, even an anonymous user, lie about that</t>
  </si>
  <si>
    <t>Could be someone making up lies</t>
  </si>
  <si>
    <t>Post 5</t>
  </si>
  <si>
    <t>I thought if you sneezed 3x or over but it meant something different</t>
  </si>
  <si>
    <t>Contradicting beliefs</t>
  </si>
  <si>
    <t>seems more trustworthy because user is using his full name</t>
  </si>
  <si>
    <t>seems like random nonsense with two things that don’t correlate</t>
  </si>
  <si>
    <t>Perceived as random</t>
  </si>
  <si>
    <t>This could start controversy or discussion it can be read many ways but overall seems light.</t>
  </si>
  <si>
    <t>Ambigious</t>
  </si>
  <si>
    <t>I don’t like sneezing so this is controversial to me, also weird username</t>
  </si>
  <si>
    <t>I’m sure their mother did say this, it has no significant affect on my life, however I’m sure someone out there finds it controversial because misinformation</t>
  </si>
  <si>
    <t>It’s a pretty common thing to have been told maybe as a child these little reasons like sneezing = people talking about you.  Sharing this “fact” told to you is pretty normal and minor and wouldn’t be out of question</t>
  </si>
  <si>
    <t>The person shared their name and mentioned something his mother told him which is pretty funny since it’s a common phase parents used to tell kids</t>
  </si>
  <si>
    <t>What the post is saying is false information.  Also the author is anonymous meaning they can say whatever they want without it getting back to them meaning their less trustworthy.</t>
  </si>
  <si>
    <t>Perceived as misinformation</t>
  </si>
  <si>
    <t>Question post information, not sure how to take</t>
  </si>
  <si>
    <t>Not relevant to me, also not accurate.</t>
  </si>
  <si>
    <t>My mother has never told me this, I have heard that if you sneeze someone is thinking about you and if you sneeze 3x make a wish.</t>
  </si>
  <si>
    <t>This post, although not (?) , does seem genuine in their (???) would take superstition to heart.</t>
  </si>
  <si>
    <t>Non-anon author with full name, why would he lie?  I’m sure his mom could have said that</t>
  </si>
  <si>
    <t>This person is anon, could just be making it up</t>
  </si>
  <si>
    <t>MEAN</t>
  </si>
  <si>
    <t>MEDIAN</t>
  </si>
  <si>
    <t>STANDARD DEVIATION</t>
  </si>
  <si>
    <t>Realistic, Percieved as normal</t>
  </si>
  <si>
    <t xml:space="preserve">Popular Reasoning:   </t>
  </si>
  <si>
    <t xml:space="preserve">Additional Shared Reasoning:   </t>
  </si>
  <si>
    <t>Informal tone, Percieved as normal, Realistic</t>
  </si>
  <si>
    <t>Realistic, Non-Anonymous User</t>
  </si>
  <si>
    <t>Non-Anonymous User</t>
  </si>
  <si>
    <t>Perceived as misinformation, Anonymous User</t>
  </si>
  <si>
    <t>It’s common to complain about stuff like Walmart being closed online.  Specifics like name of store / chain and a full name add credibility.</t>
  </si>
  <si>
    <t>Non-Anonymous User, Relatability, Percieved as Normal</t>
  </si>
  <si>
    <t>Reactionary/Realistic</t>
  </si>
  <si>
    <t>Reactionary, Percieved as Normal</t>
  </si>
  <si>
    <t>Percieved as normal, Controversial</t>
  </si>
  <si>
    <t>Controversial</t>
  </si>
  <si>
    <t>Percieved as normal, Anonymous User</t>
  </si>
  <si>
    <t>Anonymous User, Ingenuine content</t>
  </si>
  <si>
    <t>Unrelatable</t>
  </si>
  <si>
    <t>Irrelevant</t>
  </si>
  <si>
    <t>I do not know this person, and their comment has no impact on my life</t>
  </si>
  <si>
    <t>Realistic, Innocent</t>
  </si>
  <si>
    <t>Ambigious / Not Understanding</t>
  </si>
  <si>
    <t>Ambivalence, No Personal Relation to Author</t>
  </si>
  <si>
    <t>Relatability, No Personal Relation to Author</t>
  </si>
  <si>
    <t>Percieved as Normal (2), Empathy (2), No Personal Relation to Author (3)</t>
  </si>
  <si>
    <t>Ambivalence, Non-Anonymous User, No Personal Relation to Author</t>
  </si>
  <si>
    <t>GROUP A</t>
  </si>
  <si>
    <t>GROUP P</t>
  </si>
  <si>
    <t>GROUP N</t>
  </si>
  <si>
    <t>Realistic (3)</t>
  </si>
  <si>
    <t>Percieved as Normal (2)</t>
  </si>
  <si>
    <t>Relatability (3)</t>
  </si>
  <si>
    <t>Realistic (2), No Personal Relation to Author (2)</t>
  </si>
  <si>
    <t>Relability (2)</t>
  </si>
  <si>
    <t>Key Reasoning</t>
  </si>
  <si>
    <t>Sample Size: 6</t>
  </si>
  <si>
    <t>OVERALL</t>
  </si>
  <si>
    <t>Study Sample Size: 18</t>
  </si>
  <si>
    <t>Post Anonymity</t>
  </si>
  <si>
    <t>Q4     (Confidence)</t>
  </si>
  <si>
    <t>Q5       (Relevance)</t>
  </si>
  <si>
    <t>Q1         (Accuracy)</t>
  </si>
  <si>
    <t>Q3    (Controversial)</t>
  </si>
  <si>
    <t>Q4       (Confidence)</t>
  </si>
  <si>
    <t>Q5         (Relevance)</t>
  </si>
  <si>
    <t>Ambivalence (2), Non-Anonymous User (2), No Personal Relation to Author (2), Innocent (2)</t>
  </si>
  <si>
    <t>Anonymous User (2)</t>
  </si>
  <si>
    <t>Non-Anonymous User (2)</t>
  </si>
  <si>
    <t>Reactionary (2)</t>
  </si>
  <si>
    <t>Potentially Controversial (2)</t>
  </si>
  <si>
    <t>Non-Anonymous User (3), Realistic (3)</t>
  </si>
  <si>
    <t>Nothing controversial about this post, just a relatable occurrence. I’ve done that many times.</t>
  </si>
  <si>
    <t>Relatability (4)</t>
  </si>
  <si>
    <t>Mitch and I have the same problem, water bottles do start to smell suspicious and it’s important to be vocal about it.</t>
  </si>
  <si>
    <t>I’m not sure who Anon is or if they really have game like that, but imma just have to believe it.</t>
  </si>
  <si>
    <t>Anonymous User (5), Ingenuine Content (3)</t>
  </si>
  <si>
    <t>Lisa is just venting because she’s frustrated about the closing of Walmart, which is rarely closed. I get it.</t>
  </si>
  <si>
    <t>Non-Anonymous User (3), Relatability (4), Percieved as Normal (3)</t>
  </si>
  <si>
    <t>Reactionary, Relatabilty</t>
  </si>
  <si>
    <t>Not everyone believes certain things, this could be controversial to others.</t>
  </si>
  <si>
    <t>Ambigious, Controversial</t>
  </si>
  <si>
    <t>Username, Controversial</t>
  </si>
  <si>
    <t>Realistic, Controversial</t>
  </si>
  <si>
    <t>Realistic (5), Controversial (4)</t>
  </si>
  <si>
    <t>Realistic (2), Controversial (2)</t>
  </si>
  <si>
    <t>Seems like a post that would be on fizz</t>
  </si>
  <si>
    <t>Relatability (6), Realistic (6)</t>
  </si>
  <si>
    <t xml:space="preserve">Poster was anonymous, but seems like post that would be made </t>
  </si>
  <si>
    <t>Anonymous User, Realistic</t>
  </si>
  <si>
    <t>Relatability (4), Anonymous User (5)</t>
  </si>
  <si>
    <t>Anonymous User (4)</t>
  </si>
  <si>
    <t>In college a lot of people are exploring and go on dates, although some might look down upon on someone who went on two dates within two days.</t>
  </si>
  <si>
    <t>Ingenuine Content (5), Anonymous User (6), Percieved as Normal (4)</t>
  </si>
  <si>
    <t>Random (2), Non-Anonymous User (2), Controversal (2)</t>
  </si>
  <si>
    <t>A lot of people make post like this within their community to spread to news or to figure out why something might be.</t>
  </si>
  <si>
    <t>Percieved as Normal</t>
  </si>
  <si>
    <t>Post was random content wasn’t sure what to make of it.</t>
  </si>
  <si>
    <t>Percieved as random</t>
  </si>
  <si>
    <t>Non-Anonymous User (3), Contradicting Beliefs (2), Percieved as Misinformation (2), Anonymous User (2), Percieved as Random (2)</t>
  </si>
  <si>
    <t>Q1              (Accuracy)</t>
  </si>
  <si>
    <t>Q1            (Accuracy)</t>
  </si>
  <si>
    <t>Idenity Condition</t>
  </si>
  <si>
    <t>Q1</t>
  </si>
  <si>
    <t>Q2</t>
  </si>
  <si>
    <t>Q3</t>
  </si>
  <si>
    <t>Q4</t>
  </si>
  <si>
    <t>Q5</t>
  </si>
  <si>
    <t>Anonymous</t>
  </si>
  <si>
    <t>Pseudonymous</t>
  </si>
  <si>
    <t>Non-Anonoymous</t>
  </si>
  <si>
    <t>Mean Across Questions</t>
  </si>
  <si>
    <t>Standard Deviation</t>
  </si>
  <si>
    <t>S</t>
  </si>
  <si>
    <t>Anonymous User, Potentially controversial</t>
  </si>
  <si>
    <t xml:space="preserve"> Relatability (5), Non-Anonymous User (3), Reactionary (4), Percieved as Normal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</si>
</sst>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0"/>
      <color theme="1"/>
      <name val="Arial"/>
      <family val="2"/>
    </font>
    <font>
      <b/>
      <u/>
      <sz val="11"/>
      <color theme="1"/>
      <name val="Aptos Narrow"/>
      <family val="2"/>
      <scheme val="minor"/>
    </font>
    <font>
      <i/>
      <sz val="11"/>
      <color theme="1"/>
      <name val="Aptos Narrow"/>
      <family val="2"/>
      <scheme val="minor"/>
    </font>
    <font>
      <b/>
      <sz val="10"/>
      <color theme="1"/>
      <name val="Arial"/>
      <family val="2"/>
    </font>
    <font>
      <b/>
      <u/>
      <sz val="14"/>
      <color theme="1"/>
      <name val="Arial"/>
      <family val="2"/>
    </font>
    <font>
      <sz val="8"/>
      <color theme="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0" tint="-0.249977111117893"/>
        <bgColor indexed="64"/>
      </patternFill>
    </fill>
  </fills>
  <borders count="1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9">
    <xf numFmtId="0" fontId="0" fillId="0" borderId="0" xfId="0"/>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wrapText="1"/>
    </xf>
    <xf numFmtId="0" fontId="0" fillId="4" borderId="6" xfId="0" applyFill="1" applyBorder="1" applyAlignment="1">
      <alignment wrapText="1"/>
    </xf>
    <xf numFmtId="0" fontId="0" fillId="4" borderId="9" xfId="0" applyFill="1" applyBorder="1" applyAlignment="1">
      <alignment wrapText="1"/>
    </xf>
    <xf numFmtId="0" fontId="1"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4" xfId="0" applyBorder="1" applyAlignment="1">
      <alignment vertical="center" wrapText="1"/>
    </xf>
    <xf numFmtId="0" fontId="1" fillId="4" borderId="0" xfId="0" applyFont="1" applyFill="1" applyAlignment="1">
      <alignment horizontal="right" vertical="center"/>
    </xf>
    <xf numFmtId="2" fontId="0" fillId="4" borderId="0" xfId="0" applyNumberFormat="1" applyFill="1" applyAlignment="1">
      <alignment vertical="center"/>
    </xf>
    <xf numFmtId="0" fontId="0" fillId="4" borderId="6" xfId="0" applyFill="1" applyBorder="1" applyAlignment="1">
      <alignment vertical="center" wrapText="1"/>
    </xf>
    <xf numFmtId="0" fontId="0" fillId="4" borderId="0" xfId="0" applyFill="1" applyAlignment="1">
      <alignment vertical="center"/>
    </xf>
    <xf numFmtId="0" fontId="1" fillId="4" borderId="8" xfId="0" applyFont="1" applyFill="1" applyBorder="1" applyAlignment="1">
      <alignment horizontal="right" vertical="center"/>
    </xf>
    <xf numFmtId="0" fontId="0" fillId="4" borderId="9" xfId="0" applyFill="1" applyBorder="1" applyAlignment="1">
      <alignment vertical="center" wrapText="1"/>
    </xf>
    <xf numFmtId="0" fontId="0" fillId="2" borderId="1" xfId="0" applyFill="1" applyBorder="1" applyAlignment="1">
      <alignment vertical="center"/>
    </xf>
    <xf numFmtId="0" fontId="0" fillId="2" borderId="4" xfId="0" applyFill="1" applyBorder="1" applyAlignment="1">
      <alignment vertical="center" wrapText="1"/>
    </xf>
    <xf numFmtId="0" fontId="0" fillId="3" borderId="1" xfId="0" applyFill="1" applyBorder="1" applyAlignment="1">
      <alignment vertical="center"/>
    </xf>
    <xf numFmtId="0" fontId="0" fillId="3" borderId="4" xfId="0" applyFill="1" applyBorder="1" applyAlignment="1">
      <alignment vertical="center" wrapText="1"/>
    </xf>
    <xf numFmtId="0" fontId="4" fillId="0" borderId="1" xfId="0" applyFont="1" applyBorder="1" applyAlignment="1">
      <alignment vertical="center"/>
    </xf>
    <xf numFmtId="0" fontId="4" fillId="2" borderId="1" xfId="0" applyFont="1" applyFill="1" applyBorder="1" applyAlignment="1">
      <alignment vertical="center"/>
    </xf>
    <xf numFmtId="0" fontId="4" fillId="3" borderId="1" xfId="0" applyFont="1" applyFill="1" applyBorder="1" applyAlignment="1">
      <alignment vertical="center"/>
    </xf>
    <xf numFmtId="0" fontId="2" fillId="0" borderId="0" xfId="0" applyFont="1" applyAlignment="1">
      <alignment vertical="center"/>
    </xf>
    <xf numFmtId="0" fontId="5" fillId="0" borderId="0" xfId="0" applyFont="1" applyAlignment="1">
      <alignment vertical="center"/>
    </xf>
    <xf numFmtId="0" fontId="5" fillId="0" borderId="0" xfId="0" applyFont="1" applyAlignment="1">
      <alignment horizontal="center" vertical="center" wrapText="1"/>
    </xf>
    <xf numFmtId="0" fontId="2" fillId="0" borderId="4" xfId="0" applyFont="1" applyBorder="1" applyAlignment="1">
      <alignment vertical="center" wrapText="1"/>
    </xf>
    <xf numFmtId="0" fontId="2" fillId="0" borderId="6" xfId="0" applyFont="1" applyBorder="1" applyAlignment="1">
      <alignment vertical="center" wrapText="1"/>
    </xf>
    <xf numFmtId="0" fontId="2" fillId="0" borderId="1" xfId="0" applyFont="1" applyBorder="1" applyAlignment="1">
      <alignment vertical="center"/>
    </xf>
    <xf numFmtId="0" fontId="5" fillId="4" borderId="0" xfId="0" applyFont="1" applyFill="1" applyAlignment="1">
      <alignment horizontal="right" vertical="center"/>
    </xf>
    <xf numFmtId="0" fontId="2" fillId="4" borderId="6" xfId="0" applyFont="1" applyFill="1" applyBorder="1" applyAlignment="1">
      <alignment vertical="center" wrapText="1"/>
    </xf>
    <xf numFmtId="0" fontId="2" fillId="4" borderId="0" xfId="0" applyFont="1" applyFill="1" applyAlignment="1">
      <alignment vertical="center"/>
    </xf>
    <xf numFmtId="0" fontId="5" fillId="4" borderId="8" xfId="0" applyFont="1" applyFill="1" applyBorder="1" applyAlignment="1">
      <alignment horizontal="right" vertical="center"/>
    </xf>
    <xf numFmtId="0" fontId="2" fillId="4" borderId="9" xfId="0" applyFont="1" applyFill="1" applyBorder="1" applyAlignment="1">
      <alignment vertical="center" wrapText="1"/>
    </xf>
    <xf numFmtId="0" fontId="2" fillId="2" borderId="1" xfId="0" applyFont="1" applyFill="1" applyBorder="1" applyAlignment="1">
      <alignment vertical="center"/>
    </xf>
    <xf numFmtId="0" fontId="2" fillId="2" borderId="4" xfId="0" applyFont="1" applyFill="1" applyBorder="1" applyAlignment="1">
      <alignment vertical="center" wrapText="1"/>
    </xf>
    <xf numFmtId="0" fontId="2" fillId="3" borderId="1" xfId="0" applyFont="1" applyFill="1" applyBorder="1" applyAlignment="1">
      <alignment vertical="center"/>
    </xf>
    <xf numFmtId="0" fontId="2" fillId="3" borderId="4" xfId="0" applyFont="1" applyFill="1" applyBorder="1" applyAlignment="1">
      <alignment vertical="center" wrapText="1"/>
    </xf>
    <xf numFmtId="0" fontId="2" fillId="4" borderId="11" xfId="0" applyFont="1" applyFill="1" applyBorder="1" applyAlignment="1">
      <alignment vertical="center"/>
    </xf>
    <xf numFmtId="0" fontId="2" fillId="4" borderId="12" xfId="0" applyFont="1" applyFill="1" applyBorder="1" applyAlignment="1">
      <alignment vertical="center" wrapText="1"/>
    </xf>
    <xf numFmtId="0" fontId="5" fillId="4" borderId="1" xfId="0" applyFont="1" applyFill="1" applyBorder="1" applyAlignment="1">
      <alignment horizontal="right" vertical="center"/>
    </xf>
    <xf numFmtId="0" fontId="2" fillId="4" borderId="4" xfId="0" applyFont="1" applyFill="1" applyBorder="1" applyAlignment="1">
      <alignment vertical="center" wrapText="1"/>
    </xf>
    <xf numFmtId="0" fontId="0" fillId="4" borderId="11" xfId="0" applyFill="1" applyBorder="1" applyAlignment="1">
      <alignment vertical="center"/>
    </xf>
    <xf numFmtId="0" fontId="0" fillId="4" borderId="12" xfId="0" applyFill="1" applyBorder="1" applyAlignment="1">
      <alignment vertical="center" wrapText="1"/>
    </xf>
    <xf numFmtId="0" fontId="1" fillId="4" borderId="1" xfId="0" applyFont="1" applyFill="1" applyBorder="1" applyAlignment="1">
      <alignment horizontal="right" vertical="center"/>
    </xf>
    <xf numFmtId="2" fontId="0" fillId="4" borderId="1" xfId="0" applyNumberFormat="1" applyFill="1" applyBorder="1" applyAlignment="1">
      <alignment vertical="center"/>
    </xf>
    <xf numFmtId="0" fontId="0" fillId="4" borderId="4" xfId="0" applyFill="1" applyBorder="1" applyAlignment="1">
      <alignment vertical="center" wrapText="1"/>
    </xf>
    <xf numFmtId="0" fontId="4" fillId="4" borderId="1" xfId="0" applyFont="1" applyFill="1" applyBorder="1" applyAlignment="1">
      <alignment vertical="center"/>
    </xf>
    <xf numFmtId="0" fontId="0" fillId="4" borderId="1" xfId="0" applyFill="1" applyBorder="1" applyAlignment="1">
      <alignment vertical="center"/>
    </xf>
    <xf numFmtId="0" fontId="0" fillId="4" borderId="4" xfId="0" applyFill="1" applyBorder="1" applyAlignment="1">
      <alignment wrapText="1"/>
    </xf>
    <xf numFmtId="0" fontId="0" fillId="4" borderId="12" xfId="0" applyFill="1" applyBorder="1" applyAlignment="1">
      <alignment wrapText="1"/>
    </xf>
    <xf numFmtId="2" fontId="0" fillId="4" borderId="8" xfId="0" applyNumberFormat="1" applyFill="1" applyBorder="1" applyAlignment="1">
      <alignment vertical="center"/>
    </xf>
    <xf numFmtId="0" fontId="2"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7" fillId="2" borderId="0" xfId="0" applyFont="1" applyFill="1" applyAlignment="1">
      <alignment vertical="center" wrapText="1"/>
    </xf>
    <xf numFmtId="0" fontId="2" fillId="2" borderId="6" xfId="0" applyFont="1" applyFill="1" applyBorder="1" applyAlignment="1">
      <alignment vertical="center" wrapText="1"/>
    </xf>
    <xf numFmtId="0" fontId="2" fillId="3" borderId="5" xfId="0" applyFont="1" applyFill="1" applyBorder="1" applyAlignment="1">
      <alignment horizontal="center" vertical="center" wrapText="1"/>
    </xf>
    <xf numFmtId="0" fontId="2" fillId="3" borderId="0" xfId="0" applyFont="1" applyFill="1" applyAlignment="1">
      <alignment horizontal="center" vertical="center" wrapText="1"/>
    </xf>
    <xf numFmtId="0" fontId="7" fillId="3" borderId="0" xfId="0" applyFont="1" applyFill="1" applyAlignment="1">
      <alignment vertical="center" wrapText="1"/>
    </xf>
    <xf numFmtId="0" fontId="2" fillId="3" borderId="6" xfId="0" applyFont="1" applyFill="1" applyBorder="1" applyAlignment="1">
      <alignment vertical="center" wrapText="1"/>
    </xf>
    <xf numFmtId="0" fontId="2" fillId="0" borderId="5" xfId="0" applyFont="1" applyBorder="1" applyAlignment="1">
      <alignment horizontal="center" vertical="center" wrapText="1"/>
    </xf>
    <xf numFmtId="0" fontId="7" fillId="0" borderId="0" xfId="0" applyFont="1" applyAlignment="1">
      <alignment vertical="center" wrapText="1"/>
    </xf>
    <xf numFmtId="0" fontId="5" fillId="0" borderId="2" xfId="0" applyFont="1" applyBorder="1" applyAlignment="1">
      <alignment horizontal="center" vertical="center" wrapText="1"/>
    </xf>
    <xf numFmtId="0" fontId="7" fillId="3" borderId="0" xfId="0" applyFont="1" applyFill="1" applyAlignment="1">
      <alignment horizontal="left"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7" fillId="2" borderId="8" xfId="0" applyFont="1" applyFill="1" applyBorder="1" applyAlignment="1">
      <alignment vertical="center" wrapText="1"/>
    </xf>
    <xf numFmtId="0" fontId="2" fillId="2" borderId="9" xfId="0" applyFont="1" applyFill="1" applyBorder="1" applyAlignment="1">
      <alignment vertical="center" wrapText="1"/>
    </xf>
    <xf numFmtId="0" fontId="7" fillId="0" borderId="0" xfId="0" applyFont="1" applyAlignment="1">
      <alignment horizontal="center" vertical="center" wrapText="1"/>
    </xf>
    <xf numFmtId="2" fontId="0" fillId="0" borderId="0" xfId="0" applyNumberFormat="1" applyAlignment="1">
      <alignment horizontal="left" vertic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xf>
    <xf numFmtId="0" fontId="1" fillId="4" borderId="3" xfId="0" applyFont="1" applyFill="1" applyBorder="1" applyAlignment="1">
      <alignment horizontal="right" vertical="center"/>
    </xf>
    <xf numFmtId="0" fontId="1" fillId="4" borderId="1" xfId="0" applyFont="1" applyFill="1" applyBorder="1" applyAlignment="1">
      <alignment horizontal="right" vertical="center"/>
    </xf>
    <xf numFmtId="0" fontId="1" fillId="4" borderId="5" xfId="0" applyFont="1" applyFill="1" applyBorder="1" applyAlignment="1">
      <alignment horizontal="right" vertical="center"/>
    </xf>
    <xf numFmtId="0" fontId="1" fillId="4" borderId="0" xfId="0" applyFont="1" applyFill="1" applyAlignment="1">
      <alignment horizontal="right" vertical="center"/>
    </xf>
    <xf numFmtId="0" fontId="1" fillId="4" borderId="7" xfId="0" applyFont="1" applyFill="1" applyBorder="1" applyAlignment="1">
      <alignment horizontal="right" vertical="center"/>
    </xf>
    <xf numFmtId="0" fontId="1" fillId="4" borderId="8" xfId="0" applyFont="1" applyFill="1" applyBorder="1" applyAlignment="1">
      <alignment horizontal="right" vertical="center"/>
    </xf>
    <xf numFmtId="0" fontId="3" fillId="3" borderId="3"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Post 1: </a:t>
            </a:r>
            <a:r>
              <a:rPr lang="en-US" sz="1400" b="0" i="0" u="none" strike="noStrike" baseline="0">
                <a:latin typeface="Arial" panose="020B0604020202020204" pitchFamily="34" charset="0"/>
                <a:cs typeface="Arial" panose="020B0604020202020204" pitchFamily="34" charset="0"/>
              </a:rPr>
              <a:t>Overall Perception Ratings by Identity Condition</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'Post 1'!$C$44</c:f>
              <c:strCache>
                <c:ptCount val="1"/>
                <c:pt idx="0">
                  <c:v>Anonymous</c:v>
                </c:pt>
              </c:strCache>
            </c:strRef>
          </c:tx>
          <c:spPr>
            <a:solidFill>
              <a:schemeClr val="accent1">
                <a:shade val="65000"/>
              </a:schemeClr>
            </a:solidFill>
            <a:ln>
              <a:noFill/>
            </a:ln>
            <a:effectLst/>
          </c:spPr>
          <c:invertIfNegative val="0"/>
          <c:errBars>
            <c:errBarType val="both"/>
            <c:errValType val="cust"/>
            <c:noEndCap val="0"/>
            <c:plus>
              <c:numRef>
                <c:f>'Post 1'!$J$44:$J$46</c:f>
                <c:numCache>
                  <c:formatCode>General</c:formatCode>
                  <c:ptCount val="3"/>
                  <c:pt idx="0">
                    <c:v>0.66248689714505915</c:v>
                  </c:pt>
                  <c:pt idx="1">
                    <c:v>0.80794664290272256</c:v>
                  </c:pt>
                  <c:pt idx="2">
                    <c:v>0.78528126595931613</c:v>
                  </c:pt>
                </c:numCache>
              </c:numRef>
            </c:plus>
            <c:minus>
              <c:numRef>
                <c:f>'Post 1'!$J$44:$J$46</c:f>
                <c:numCache>
                  <c:formatCode>General</c:formatCode>
                  <c:ptCount val="3"/>
                  <c:pt idx="0">
                    <c:v>0.66248689714505915</c:v>
                  </c:pt>
                  <c:pt idx="1">
                    <c:v>0.80794664290272256</c:v>
                  </c:pt>
                  <c:pt idx="2">
                    <c:v>0.78528126595931613</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1'!$I$44</c:f>
              <c:numCache>
                <c:formatCode>0.00</c:formatCode>
                <c:ptCount val="1"/>
                <c:pt idx="0">
                  <c:v>2.2333333333333334</c:v>
                </c:pt>
              </c:numCache>
            </c:numRef>
          </c:val>
          <c:extLst>
            <c:ext xmlns:c16="http://schemas.microsoft.com/office/drawing/2014/chart" uri="{C3380CC4-5D6E-409C-BE32-E72D297353CC}">
              <c16:uniqueId val="{00000000-BABC-4FC7-9E4D-D35282500631}"/>
            </c:ext>
          </c:extLst>
        </c:ser>
        <c:ser>
          <c:idx val="1"/>
          <c:order val="1"/>
          <c:tx>
            <c:strRef>
              <c:f>'Post 1'!$C$45</c:f>
              <c:strCache>
                <c:ptCount val="1"/>
                <c:pt idx="0">
                  <c:v>Pseudonymous</c:v>
                </c:pt>
              </c:strCache>
            </c:strRef>
          </c:tx>
          <c:spPr>
            <a:solidFill>
              <a:schemeClr val="accent1"/>
            </a:solidFill>
            <a:ln>
              <a:noFill/>
            </a:ln>
            <a:effectLst/>
          </c:spPr>
          <c:invertIfNegative val="0"/>
          <c:errBars>
            <c:errBarType val="both"/>
            <c:errValType val="cust"/>
            <c:noEndCap val="0"/>
            <c:plus>
              <c:numRef>
                <c:f>'Post 1'!$J$44:$J$46</c:f>
                <c:numCache>
                  <c:formatCode>General</c:formatCode>
                  <c:ptCount val="3"/>
                  <c:pt idx="0">
                    <c:v>0.66248689714505915</c:v>
                  </c:pt>
                  <c:pt idx="1">
                    <c:v>0.80794664290272256</c:v>
                  </c:pt>
                  <c:pt idx="2">
                    <c:v>0.78528126595931613</c:v>
                  </c:pt>
                </c:numCache>
              </c:numRef>
            </c:plus>
            <c:minus>
              <c:numRef>
                <c:f>'Post 1'!$J$44:$J$46</c:f>
                <c:numCache>
                  <c:formatCode>General</c:formatCode>
                  <c:ptCount val="3"/>
                  <c:pt idx="0">
                    <c:v>0.66248689714505915</c:v>
                  </c:pt>
                  <c:pt idx="1">
                    <c:v>0.80794664290272256</c:v>
                  </c:pt>
                  <c:pt idx="2">
                    <c:v>0.78528126595931613</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1'!$I$45</c:f>
              <c:numCache>
                <c:formatCode>0.00</c:formatCode>
                <c:ptCount val="1"/>
                <c:pt idx="0">
                  <c:v>2.333333333333333</c:v>
                </c:pt>
              </c:numCache>
            </c:numRef>
          </c:val>
          <c:extLst>
            <c:ext xmlns:c16="http://schemas.microsoft.com/office/drawing/2014/chart" uri="{C3380CC4-5D6E-409C-BE32-E72D297353CC}">
              <c16:uniqueId val="{00000001-BABC-4FC7-9E4D-D35282500631}"/>
            </c:ext>
          </c:extLst>
        </c:ser>
        <c:ser>
          <c:idx val="2"/>
          <c:order val="2"/>
          <c:tx>
            <c:strRef>
              <c:f>'Post 1'!$C$46</c:f>
              <c:strCache>
                <c:ptCount val="1"/>
                <c:pt idx="0">
                  <c:v>Non-Anonoymous</c:v>
                </c:pt>
              </c:strCache>
            </c:strRef>
          </c:tx>
          <c:spPr>
            <a:solidFill>
              <a:schemeClr val="accent1">
                <a:tint val="65000"/>
              </a:schemeClr>
            </a:solidFill>
            <a:ln>
              <a:solidFill>
                <a:schemeClr val="tx1"/>
              </a:solidFill>
            </a:ln>
            <a:effectLst/>
          </c:spPr>
          <c:invertIfNegative val="0"/>
          <c:errBars>
            <c:errBarType val="both"/>
            <c:errValType val="cust"/>
            <c:noEndCap val="0"/>
            <c:plus>
              <c:numRef>
                <c:f>'Post 1'!$J$44:$J$46</c:f>
                <c:numCache>
                  <c:formatCode>General</c:formatCode>
                  <c:ptCount val="3"/>
                  <c:pt idx="0">
                    <c:v>0.66248689714505915</c:v>
                  </c:pt>
                  <c:pt idx="1">
                    <c:v>0.80794664290272256</c:v>
                  </c:pt>
                  <c:pt idx="2">
                    <c:v>0.78528126595931613</c:v>
                  </c:pt>
                </c:numCache>
              </c:numRef>
            </c:plus>
            <c:minus>
              <c:numRef>
                <c:f>'Post 1'!$J$44:$J$46</c:f>
                <c:numCache>
                  <c:formatCode>General</c:formatCode>
                  <c:ptCount val="3"/>
                  <c:pt idx="0">
                    <c:v>0.66248689714505915</c:v>
                  </c:pt>
                  <c:pt idx="1">
                    <c:v>0.80794664290272256</c:v>
                  </c:pt>
                  <c:pt idx="2">
                    <c:v>0.78528126595931613</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1'!$I$46</c:f>
              <c:numCache>
                <c:formatCode>0.00</c:formatCode>
                <c:ptCount val="1"/>
                <c:pt idx="0">
                  <c:v>2.3000000000000003</c:v>
                </c:pt>
              </c:numCache>
            </c:numRef>
          </c:val>
          <c:extLst>
            <c:ext xmlns:c16="http://schemas.microsoft.com/office/drawing/2014/chart" uri="{C3380CC4-5D6E-409C-BE32-E72D297353CC}">
              <c16:uniqueId val="{00000002-BABC-4FC7-9E4D-D35282500631}"/>
            </c:ext>
          </c:extLst>
        </c:ser>
        <c:dLbls>
          <c:showLegendKey val="0"/>
          <c:showVal val="0"/>
          <c:showCatName val="0"/>
          <c:showSerName val="0"/>
          <c:showPercent val="0"/>
          <c:showBubbleSize val="0"/>
        </c:dLbls>
        <c:gapWidth val="219"/>
        <c:axId val="1976433200"/>
        <c:axId val="1976434160"/>
      </c:barChart>
      <c:catAx>
        <c:axId val="197643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Identity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4160"/>
        <c:crosses val="autoZero"/>
        <c:auto val="1"/>
        <c:lblAlgn val="ctr"/>
        <c:lblOffset val="100"/>
        <c:noMultiLvlLbl val="0"/>
      </c:catAx>
      <c:valAx>
        <c:axId val="197643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Mean Rating (1-4 Likert Scale)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Post 2: </a:t>
            </a:r>
            <a:r>
              <a:rPr lang="en-US" sz="1400" b="0" i="0" u="none" strike="noStrike" baseline="0">
                <a:latin typeface="Arial" panose="020B0604020202020204" pitchFamily="34" charset="0"/>
                <a:cs typeface="Arial" panose="020B0604020202020204" pitchFamily="34" charset="0"/>
              </a:rPr>
              <a:t>Overall Perception Ratings by Identity Condition</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'Post 1'!$C$44</c:f>
              <c:strCache>
                <c:ptCount val="1"/>
                <c:pt idx="0">
                  <c:v>Anonymous</c:v>
                </c:pt>
              </c:strCache>
            </c:strRef>
          </c:tx>
          <c:spPr>
            <a:solidFill>
              <a:schemeClr val="accent1">
                <a:shade val="65000"/>
              </a:schemeClr>
            </a:solidFill>
            <a:ln>
              <a:noFill/>
            </a:ln>
            <a:effectLst/>
          </c:spPr>
          <c:invertIfNegative val="0"/>
          <c:errBars>
            <c:errBarType val="both"/>
            <c:errValType val="cust"/>
            <c:noEndCap val="0"/>
            <c:plus>
              <c:numRef>
                <c:f>'Post 1'!$J$44:$J$46</c:f>
                <c:numCache>
                  <c:formatCode>General</c:formatCode>
                  <c:ptCount val="3"/>
                  <c:pt idx="0">
                    <c:v>0.66248689714505915</c:v>
                  </c:pt>
                  <c:pt idx="1">
                    <c:v>0.80794664290272256</c:v>
                  </c:pt>
                  <c:pt idx="2">
                    <c:v>0.78528126595931613</c:v>
                  </c:pt>
                </c:numCache>
              </c:numRef>
            </c:plus>
            <c:minus>
              <c:numRef>
                <c:f>'Post 1'!$J$44:$J$46</c:f>
                <c:numCache>
                  <c:formatCode>General</c:formatCode>
                  <c:ptCount val="3"/>
                  <c:pt idx="0">
                    <c:v>0.66248689714505915</c:v>
                  </c:pt>
                  <c:pt idx="1">
                    <c:v>0.80794664290272256</c:v>
                  </c:pt>
                  <c:pt idx="2">
                    <c:v>0.78528126595931613</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1'!$I$44</c:f>
              <c:numCache>
                <c:formatCode>0.00</c:formatCode>
                <c:ptCount val="1"/>
                <c:pt idx="0">
                  <c:v>2.2333333333333334</c:v>
                </c:pt>
              </c:numCache>
            </c:numRef>
          </c:val>
          <c:extLst>
            <c:ext xmlns:c16="http://schemas.microsoft.com/office/drawing/2014/chart" uri="{C3380CC4-5D6E-409C-BE32-E72D297353CC}">
              <c16:uniqueId val="{00000000-B0EF-45BD-B94D-4956D1AFD8BC}"/>
            </c:ext>
          </c:extLst>
        </c:ser>
        <c:ser>
          <c:idx val="1"/>
          <c:order val="1"/>
          <c:tx>
            <c:strRef>
              <c:f>'Post 1'!$C$45</c:f>
              <c:strCache>
                <c:ptCount val="1"/>
                <c:pt idx="0">
                  <c:v>Pseudonymous</c:v>
                </c:pt>
              </c:strCache>
            </c:strRef>
          </c:tx>
          <c:spPr>
            <a:solidFill>
              <a:schemeClr val="accent1"/>
            </a:solidFill>
            <a:ln>
              <a:noFill/>
            </a:ln>
            <a:effectLst/>
          </c:spPr>
          <c:invertIfNegative val="0"/>
          <c:errBars>
            <c:errBarType val="both"/>
            <c:errValType val="cust"/>
            <c:noEndCap val="0"/>
            <c:plus>
              <c:numRef>
                <c:f>'Post 2'!$J$44:$J$46</c:f>
                <c:numCache>
                  <c:formatCode>General</c:formatCode>
                  <c:ptCount val="3"/>
                  <c:pt idx="0">
                    <c:v>0.69121471177759142</c:v>
                  </c:pt>
                  <c:pt idx="1">
                    <c:v>0.66248689714505982</c:v>
                  </c:pt>
                  <c:pt idx="2">
                    <c:v>0.79056941504209488</c:v>
                  </c:pt>
                </c:numCache>
              </c:numRef>
            </c:plus>
            <c:minus>
              <c:numRef>
                <c:f>'Post 2'!$J$44:$J$46</c:f>
                <c:numCache>
                  <c:formatCode>General</c:formatCode>
                  <c:ptCount val="3"/>
                  <c:pt idx="0">
                    <c:v>0.69121471177759142</c:v>
                  </c:pt>
                  <c:pt idx="1">
                    <c:v>0.66248689714505982</c:v>
                  </c:pt>
                  <c:pt idx="2">
                    <c:v>0.79056941504209488</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1'!$I$45</c:f>
              <c:numCache>
                <c:formatCode>0.00</c:formatCode>
                <c:ptCount val="1"/>
                <c:pt idx="0">
                  <c:v>2.333333333333333</c:v>
                </c:pt>
              </c:numCache>
            </c:numRef>
          </c:val>
          <c:extLst>
            <c:ext xmlns:c16="http://schemas.microsoft.com/office/drawing/2014/chart" uri="{C3380CC4-5D6E-409C-BE32-E72D297353CC}">
              <c16:uniqueId val="{00000003-B0EF-45BD-B94D-4956D1AFD8BC}"/>
            </c:ext>
          </c:extLst>
        </c:ser>
        <c:ser>
          <c:idx val="2"/>
          <c:order val="2"/>
          <c:tx>
            <c:strRef>
              <c:f>'Post 1'!$C$46</c:f>
              <c:strCache>
                <c:ptCount val="1"/>
                <c:pt idx="0">
                  <c:v>Non-Anonoymous</c:v>
                </c:pt>
              </c:strCache>
            </c:strRef>
          </c:tx>
          <c:spPr>
            <a:solidFill>
              <a:schemeClr val="accent1">
                <a:tint val="65000"/>
              </a:schemeClr>
            </a:solidFill>
            <a:ln>
              <a:solidFill>
                <a:schemeClr val="tx1"/>
              </a:solidFill>
            </a:ln>
            <a:effectLst/>
          </c:spPr>
          <c:invertIfNegative val="0"/>
          <c:errBars>
            <c:errBarType val="both"/>
            <c:errValType val="cust"/>
            <c:noEndCap val="0"/>
            <c:plus>
              <c:numRef>
                <c:f>'Post 2'!$J$44:$J$46</c:f>
                <c:numCache>
                  <c:formatCode>General</c:formatCode>
                  <c:ptCount val="3"/>
                  <c:pt idx="0">
                    <c:v>0.69121471177759142</c:v>
                  </c:pt>
                  <c:pt idx="1">
                    <c:v>0.66248689714505982</c:v>
                  </c:pt>
                  <c:pt idx="2">
                    <c:v>0.79056941504209488</c:v>
                  </c:pt>
                </c:numCache>
              </c:numRef>
            </c:plus>
            <c:minus>
              <c:numRef>
                <c:f>'Post 2'!$J$44:$J$46</c:f>
                <c:numCache>
                  <c:formatCode>General</c:formatCode>
                  <c:ptCount val="3"/>
                  <c:pt idx="0">
                    <c:v>0.69121471177759142</c:v>
                  </c:pt>
                  <c:pt idx="1">
                    <c:v>0.66248689714505982</c:v>
                  </c:pt>
                  <c:pt idx="2">
                    <c:v>0.79056941504209488</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1'!$I$46</c:f>
              <c:numCache>
                <c:formatCode>0.00</c:formatCode>
                <c:ptCount val="1"/>
                <c:pt idx="0">
                  <c:v>2.3000000000000003</c:v>
                </c:pt>
              </c:numCache>
            </c:numRef>
          </c:val>
          <c:extLst>
            <c:ext xmlns:c16="http://schemas.microsoft.com/office/drawing/2014/chart" uri="{C3380CC4-5D6E-409C-BE32-E72D297353CC}">
              <c16:uniqueId val="{00000004-B0EF-45BD-B94D-4956D1AFD8BC}"/>
            </c:ext>
          </c:extLst>
        </c:ser>
        <c:dLbls>
          <c:showLegendKey val="0"/>
          <c:showVal val="0"/>
          <c:showCatName val="0"/>
          <c:showSerName val="0"/>
          <c:showPercent val="0"/>
          <c:showBubbleSize val="0"/>
        </c:dLbls>
        <c:gapWidth val="219"/>
        <c:axId val="1976433200"/>
        <c:axId val="1976434160"/>
      </c:barChart>
      <c:catAx>
        <c:axId val="197643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Identity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4160"/>
        <c:crosses val="autoZero"/>
        <c:auto val="1"/>
        <c:lblAlgn val="ctr"/>
        <c:lblOffset val="100"/>
        <c:noMultiLvlLbl val="0"/>
      </c:catAx>
      <c:valAx>
        <c:axId val="197643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Mean Rating (1-4 Likert Scale)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Post 3: </a:t>
            </a:r>
            <a:r>
              <a:rPr lang="en-US" sz="1400" b="0" i="0" u="none" strike="noStrike" baseline="0">
                <a:latin typeface="Arial" panose="020B0604020202020204" pitchFamily="34" charset="0"/>
                <a:cs typeface="Arial" panose="020B0604020202020204" pitchFamily="34" charset="0"/>
              </a:rPr>
              <a:t>Overall Perception Ratings by Identity Condition</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'Post 1'!$C$44</c:f>
              <c:strCache>
                <c:ptCount val="1"/>
                <c:pt idx="0">
                  <c:v>Anonymous</c:v>
                </c:pt>
              </c:strCache>
            </c:strRef>
          </c:tx>
          <c:spPr>
            <a:solidFill>
              <a:schemeClr val="accent1">
                <a:shade val="65000"/>
              </a:schemeClr>
            </a:solidFill>
            <a:ln>
              <a:noFill/>
            </a:ln>
            <a:effectLst/>
          </c:spPr>
          <c:invertIfNegative val="0"/>
          <c:errBars>
            <c:errBarType val="both"/>
            <c:errValType val="cust"/>
            <c:noEndCap val="0"/>
            <c:plus>
              <c:numRef>
                <c:f>'Post 1'!$J$44:$J$46</c:f>
                <c:numCache>
                  <c:formatCode>General</c:formatCode>
                  <c:ptCount val="3"/>
                  <c:pt idx="0">
                    <c:v>0.66248689714505915</c:v>
                  </c:pt>
                  <c:pt idx="1">
                    <c:v>0.80794664290272256</c:v>
                  </c:pt>
                  <c:pt idx="2">
                    <c:v>0.78528126595931613</c:v>
                  </c:pt>
                </c:numCache>
              </c:numRef>
            </c:plus>
            <c:minus>
              <c:numRef>
                <c:f>'Post 1'!$J$44:$J$46</c:f>
                <c:numCache>
                  <c:formatCode>General</c:formatCode>
                  <c:ptCount val="3"/>
                  <c:pt idx="0">
                    <c:v>0.66248689714505915</c:v>
                  </c:pt>
                  <c:pt idx="1">
                    <c:v>0.80794664290272256</c:v>
                  </c:pt>
                  <c:pt idx="2">
                    <c:v>0.78528126595931613</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1'!$I$44</c:f>
              <c:numCache>
                <c:formatCode>0.00</c:formatCode>
                <c:ptCount val="1"/>
                <c:pt idx="0">
                  <c:v>2.2333333333333334</c:v>
                </c:pt>
              </c:numCache>
            </c:numRef>
          </c:val>
          <c:extLst>
            <c:ext xmlns:c16="http://schemas.microsoft.com/office/drawing/2014/chart" uri="{C3380CC4-5D6E-409C-BE32-E72D297353CC}">
              <c16:uniqueId val="{00000000-3A91-4AB6-821F-CA92C51A0F13}"/>
            </c:ext>
          </c:extLst>
        </c:ser>
        <c:ser>
          <c:idx val="1"/>
          <c:order val="1"/>
          <c:tx>
            <c:strRef>
              <c:f>'Post 1'!$C$45</c:f>
              <c:strCache>
                <c:ptCount val="1"/>
                <c:pt idx="0">
                  <c:v>Pseudonymous</c:v>
                </c:pt>
              </c:strCache>
            </c:strRef>
          </c:tx>
          <c:spPr>
            <a:solidFill>
              <a:schemeClr val="accent1"/>
            </a:solidFill>
            <a:ln>
              <a:noFill/>
            </a:ln>
            <a:effectLst/>
          </c:spPr>
          <c:invertIfNegative val="0"/>
          <c:errBars>
            <c:errBarType val="both"/>
            <c:errValType val="cust"/>
            <c:noEndCap val="0"/>
            <c:plus>
              <c:numRef>
                <c:f>'Post 3'!$J$44:$J$46</c:f>
                <c:numCache>
                  <c:formatCode>General</c:formatCode>
                  <c:ptCount val="3"/>
                  <c:pt idx="0">
                    <c:v>0.61913918736689</c:v>
                  </c:pt>
                  <c:pt idx="1">
                    <c:v>0.79407528330477362</c:v>
                  </c:pt>
                  <c:pt idx="2">
                    <c:v>0.6302556800396345</c:v>
                  </c:pt>
                </c:numCache>
              </c:numRef>
            </c:plus>
            <c:minus>
              <c:numRef>
                <c:f>'Post 3'!$J$44:$J$46</c:f>
                <c:numCache>
                  <c:formatCode>General</c:formatCode>
                  <c:ptCount val="3"/>
                  <c:pt idx="0">
                    <c:v>0.61913918736689</c:v>
                  </c:pt>
                  <c:pt idx="1">
                    <c:v>0.79407528330477362</c:v>
                  </c:pt>
                  <c:pt idx="2">
                    <c:v>0.6302556800396345</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1'!$I$45</c:f>
              <c:numCache>
                <c:formatCode>0.00</c:formatCode>
                <c:ptCount val="1"/>
                <c:pt idx="0">
                  <c:v>2.333333333333333</c:v>
                </c:pt>
              </c:numCache>
            </c:numRef>
          </c:val>
          <c:extLst>
            <c:ext xmlns:c16="http://schemas.microsoft.com/office/drawing/2014/chart" uri="{C3380CC4-5D6E-409C-BE32-E72D297353CC}">
              <c16:uniqueId val="{00000003-3A91-4AB6-821F-CA92C51A0F13}"/>
            </c:ext>
          </c:extLst>
        </c:ser>
        <c:ser>
          <c:idx val="2"/>
          <c:order val="2"/>
          <c:tx>
            <c:strRef>
              <c:f>'Post 1'!$C$46</c:f>
              <c:strCache>
                <c:ptCount val="1"/>
                <c:pt idx="0">
                  <c:v>Non-Anonoymous</c:v>
                </c:pt>
              </c:strCache>
            </c:strRef>
          </c:tx>
          <c:spPr>
            <a:solidFill>
              <a:schemeClr val="accent1">
                <a:tint val="65000"/>
              </a:schemeClr>
            </a:solidFill>
            <a:ln>
              <a:solidFill>
                <a:schemeClr val="tx1"/>
              </a:solidFill>
            </a:ln>
            <a:effectLst/>
          </c:spPr>
          <c:invertIfNegative val="0"/>
          <c:errBars>
            <c:errBarType val="both"/>
            <c:errValType val="cust"/>
            <c:noEndCap val="0"/>
            <c:plus>
              <c:numRef>
                <c:f>'Post 3'!$J$44:$J$47</c:f>
                <c:numCache>
                  <c:formatCode>General</c:formatCode>
                  <c:ptCount val="4"/>
                  <c:pt idx="0">
                    <c:v>0.61913918736689</c:v>
                  </c:pt>
                  <c:pt idx="1">
                    <c:v>0.79407528330477362</c:v>
                  </c:pt>
                  <c:pt idx="2">
                    <c:v>0.6302556800396345</c:v>
                  </c:pt>
                </c:numCache>
              </c:numRef>
            </c:plus>
            <c:minus>
              <c:numRef>
                <c:f>'Post 3'!$J$44:$J$46</c:f>
                <c:numCache>
                  <c:formatCode>General</c:formatCode>
                  <c:ptCount val="3"/>
                  <c:pt idx="0">
                    <c:v>0.61913918736689</c:v>
                  </c:pt>
                  <c:pt idx="1">
                    <c:v>0.79407528330477362</c:v>
                  </c:pt>
                  <c:pt idx="2">
                    <c:v>0.6302556800396345</c:v>
                  </c:pt>
                </c:numCache>
              </c:numRef>
            </c:minus>
            <c:spPr>
              <a:noFill/>
              <a:ln w="12700" cap="flat" cmpd="sng" algn="ctr">
                <a:solidFill>
                  <a:schemeClr val="tx1"/>
                </a:solidFill>
                <a:round/>
              </a:ln>
              <a:effectLst/>
            </c:spPr>
          </c:errBars>
          <c:cat>
            <c:strRef>
              <c:f>'Post 1'!$I$43</c:f>
              <c:strCache>
                <c:ptCount val="1"/>
                <c:pt idx="0">
                  <c:v>Mean Across Questions</c:v>
                </c:pt>
              </c:strCache>
            </c:strRef>
          </c:cat>
          <c:val>
            <c:numRef>
              <c:f>'Post 1'!$I$46</c:f>
              <c:numCache>
                <c:formatCode>0.00</c:formatCode>
                <c:ptCount val="1"/>
                <c:pt idx="0">
                  <c:v>2.3000000000000003</c:v>
                </c:pt>
              </c:numCache>
            </c:numRef>
          </c:val>
          <c:extLst>
            <c:ext xmlns:c16="http://schemas.microsoft.com/office/drawing/2014/chart" uri="{C3380CC4-5D6E-409C-BE32-E72D297353CC}">
              <c16:uniqueId val="{00000004-3A91-4AB6-821F-CA92C51A0F13}"/>
            </c:ext>
          </c:extLst>
        </c:ser>
        <c:dLbls>
          <c:showLegendKey val="0"/>
          <c:showVal val="0"/>
          <c:showCatName val="0"/>
          <c:showSerName val="0"/>
          <c:showPercent val="0"/>
          <c:showBubbleSize val="0"/>
        </c:dLbls>
        <c:gapWidth val="219"/>
        <c:axId val="1976433200"/>
        <c:axId val="1976434160"/>
      </c:barChart>
      <c:catAx>
        <c:axId val="197643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Identity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4160"/>
        <c:crosses val="autoZero"/>
        <c:auto val="1"/>
        <c:lblAlgn val="ctr"/>
        <c:lblOffset val="100"/>
        <c:noMultiLvlLbl val="0"/>
      </c:catAx>
      <c:valAx>
        <c:axId val="197643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Mean Rating (1-4 Likert Scale)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Post 4: </a:t>
            </a:r>
            <a:r>
              <a:rPr lang="en-US" sz="1400" b="0" i="0" u="none" strike="noStrike" baseline="0">
                <a:latin typeface="Arial" panose="020B0604020202020204" pitchFamily="34" charset="0"/>
                <a:cs typeface="Arial" panose="020B0604020202020204" pitchFamily="34" charset="0"/>
              </a:rPr>
              <a:t>Overall Perception Ratings by Identity Condition</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'Post 1'!$C$44</c:f>
              <c:strCache>
                <c:ptCount val="1"/>
                <c:pt idx="0">
                  <c:v>Anonymous</c:v>
                </c:pt>
              </c:strCache>
            </c:strRef>
          </c:tx>
          <c:spPr>
            <a:solidFill>
              <a:schemeClr val="accent1">
                <a:shade val="65000"/>
              </a:schemeClr>
            </a:solidFill>
            <a:ln>
              <a:noFill/>
            </a:ln>
            <a:effectLst/>
          </c:spPr>
          <c:invertIfNegative val="0"/>
          <c:errBars>
            <c:errBarType val="both"/>
            <c:errValType val="cust"/>
            <c:noEndCap val="0"/>
            <c:plus>
              <c:numRef>
                <c:f>'Post 1'!$J$44:$J$46</c:f>
                <c:numCache>
                  <c:formatCode>General</c:formatCode>
                  <c:ptCount val="3"/>
                  <c:pt idx="0">
                    <c:v>0.66248689714505915</c:v>
                  </c:pt>
                  <c:pt idx="1">
                    <c:v>0.80794664290272256</c:v>
                  </c:pt>
                  <c:pt idx="2">
                    <c:v>0.78528126595931613</c:v>
                  </c:pt>
                </c:numCache>
              </c:numRef>
            </c:plus>
            <c:minus>
              <c:numRef>
                <c:f>'Post 1'!$J$44:$J$46</c:f>
                <c:numCache>
                  <c:formatCode>General</c:formatCode>
                  <c:ptCount val="3"/>
                  <c:pt idx="0">
                    <c:v>0.66248689714505915</c:v>
                  </c:pt>
                  <c:pt idx="1">
                    <c:v>0.80794664290272256</c:v>
                  </c:pt>
                  <c:pt idx="2">
                    <c:v>0.78528126595931613</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1'!$I$44</c:f>
              <c:numCache>
                <c:formatCode>0.00</c:formatCode>
                <c:ptCount val="1"/>
                <c:pt idx="0">
                  <c:v>2.2333333333333334</c:v>
                </c:pt>
              </c:numCache>
            </c:numRef>
          </c:val>
          <c:extLst>
            <c:ext xmlns:c16="http://schemas.microsoft.com/office/drawing/2014/chart" uri="{C3380CC4-5D6E-409C-BE32-E72D297353CC}">
              <c16:uniqueId val="{00000000-A4EC-465A-B816-44E8843E37DB}"/>
            </c:ext>
          </c:extLst>
        </c:ser>
        <c:ser>
          <c:idx val="1"/>
          <c:order val="1"/>
          <c:tx>
            <c:strRef>
              <c:f>'Post 1'!$C$45</c:f>
              <c:strCache>
                <c:ptCount val="1"/>
                <c:pt idx="0">
                  <c:v>Pseudonymous</c:v>
                </c:pt>
              </c:strCache>
            </c:strRef>
          </c:tx>
          <c:spPr>
            <a:solidFill>
              <a:schemeClr val="accent1"/>
            </a:solidFill>
            <a:ln>
              <a:noFill/>
            </a:ln>
            <a:effectLst/>
          </c:spPr>
          <c:invertIfNegative val="0"/>
          <c:errBars>
            <c:errBarType val="both"/>
            <c:errValType val="cust"/>
            <c:noEndCap val="0"/>
            <c:plus>
              <c:numRef>
                <c:f>'Post 4'!$J$44:$J$46</c:f>
                <c:numCache>
                  <c:formatCode>General</c:formatCode>
                  <c:ptCount val="3"/>
                  <c:pt idx="0">
                    <c:v>0.43140597018482901</c:v>
                  </c:pt>
                  <c:pt idx="1">
                    <c:v>0.80277297191948715</c:v>
                  </c:pt>
                  <c:pt idx="2">
                    <c:v>0.48016200969626405</c:v>
                  </c:pt>
                </c:numCache>
              </c:numRef>
            </c:plus>
            <c:minus>
              <c:numRef>
                <c:f>'Post 4'!$J$44:$J$46</c:f>
                <c:numCache>
                  <c:formatCode>General</c:formatCode>
                  <c:ptCount val="3"/>
                  <c:pt idx="0">
                    <c:v>0.43140597018482901</c:v>
                  </c:pt>
                  <c:pt idx="1">
                    <c:v>0.80277297191948715</c:v>
                  </c:pt>
                  <c:pt idx="2">
                    <c:v>0.48016200969626405</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1'!$I$45</c:f>
              <c:numCache>
                <c:formatCode>0.00</c:formatCode>
                <c:ptCount val="1"/>
                <c:pt idx="0">
                  <c:v>2.333333333333333</c:v>
                </c:pt>
              </c:numCache>
            </c:numRef>
          </c:val>
          <c:extLst>
            <c:ext xmlns:c16="http://schemas.microsoft.com/office/drawing/2014/chart" uri="{C3380CC4-5D6E-409C-BE32-E72D297353CC}">
              <c16:uniqueId val="{00000003-A4EC-465A-B816-44E8843E37DB}"/>
            </c:ext>
          </c:extLst>
        </c:ser>
        <c:ser>
          <c:idx val="2"/>
          <c:order val="2"/>
          <c:tx>
            <c:strRef>
              <c:f>'Post 1'!$C$46</c:f>
              <c:strCache>
                <c:ptCount val="1"/>
                <c:pt idx="0">
                  <c:v>Non-Anonoymous</c:v>
                </c:pt>
              </c:strCache>
            </c:strRef>
          </c:tx>
          <c:spPr>
            <a:solidFill>
              <a:schemeClr val="accent1">
                <a:tint val="65000"/>
              </a:schemeClr>
            </a:solidFill>
            <a:ln>
              <a:solidFill>
                <a:schemeClr val="tx1"/>
              </a:solidFill>
            </a:ln>
            <a:effectLst/>
          </c:spPr>
          <c:invertIfNegative val="0"/>
          <c:errBars>
            <c:errBarType val="both"/>
            <c:errValType val="cust"/>
            <c:noEndCap val="0"/>
            <c:plus>
              <c:numRef>
                <c:f>'Post 4'!$J$44:$J$46</c:f>
                <c:numCache>
                  <c:formatCode>General</c:formatCode>
                  <c:ptCount val="3"/>
                  <c:pt idx="0">
                    <c:v>0.43140597018482901</c:v>
                  </c:pt>
                  <c:pt idx="1">
                    <c:v>0.80277297191948715</c:v>
                  </c:pt>
                  <c:pt idx="2">
                    <c:v>0.48016200969626405</c:v>
                  </c:pt>
                </c:numCache>
              </c:numRef>
            </c:plus>
            <c:minus>
              <c:numRef>
                <c:f>'Post 4'!$J$44:$J$46</c:f>
                <c:numCache>
                  <c:formatCode>General</c:formatCode>
                  <c:ptCount val="3"/>
                  <c:pt idx="0">
                    <c:v>0.43140597018482901</c:v>
                  </c:pt>
                  <c:pt idx="1">
                    <c:v>0.80277297191948715</c:v>
                  </c:pt>
                  <c:pt idx="2">
                    <c:v>0.48016200969626405</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1'!$I$46</c:f>
              <c:numCache>
                <c:formatCode>0.00</c:formatCode>
                <c:ptCount val="1"/>
                <c:pt idx="0">
                  <c:v>2.3000000000000003</c:v>
                </c:pt>
              </c:numCache>
            </c:numRef>
          </c:val>
          <c:extLst>
            <c:ext xmlns:c16="http://schemas.microsoft.com/office/drawing/2014/chart" uri="{C3380CC4-5D6E-409C-BE32-E72D297353CC}">
              <c16:uniqueId val="{00000004-A4EC-465A-B816-44E8843E37DB}"/>
            </c:ext>
          </c:extLst>
        </c:ser>
        <c:dLbls>
          <c:showLegendKey val="0"/>
          <c:showVal val="0"/>
          <c:showCatName val="0"/>
          <c:showSerName val="0"/>
          <c:showPercent val="0"/>
          <c:showBubbleSize val="0"/>
        </c:dLbls>
        <c:gapWidth val="219"/>
        <c:axId val="1976433200"/>
        <c:axId val="1976434160"/>
      </c:barChart>
      <c:catAx>
        <c:axId val="197643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Identity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4160"/>
        <c:crosses val="autoZero"/>
        <c:auto val="1"/>
        <c:lblAlgn val="ctr"/>
        <c:lblOffset val="100"/>
        <c:noMultiLvlLbl val="0"/>
      </c:catAx>
      <c:valAx>
        <c:axId val="197643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Mean Rating (1-4 Likert Scale)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Post 5: </a:t>
            </a:r>
            <a:r>
              <a:rPr lang="en-US" sz="1400" b="0" i="0" u="none" strike="noStrike" baseline="0">
                <a:latin typeface="Arial" panose="020B0604020202020204" pitchFamily="34" charset="0"/>
                <a:cs typeface="Arial" panose="020B0604020202020204" pitchFamily="34" charset="0"/>
              </a:rPr>
              <a:t>Overall Perception Ratings by Identity Condition</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'Post 1'!$C$44</c:f>
              <c:strCache>
                <c:ptCount val="1"/>
                <c:pt idx="0">
                  <c:v>Anonymous</c:v>
                </c:pt>
              </c:strCache>
            </c:strRef>
          </c:tx>
          <c:spPr>
            <a:solidFill>
              <a:schemeClr val="accent1">
                <a:shade val="65000"/>
              </a:schemeClr>
            </a:solidFill>
            <a:ln>
              <a:noFill/>
            </a:ln>
            <a:effectLst/>
          </c:spPr>
          <c:invertIfNegative val="0"/>
          <c:errBars>
            <c:errBarType val="both"/>
            <c:errValType val="cust"/>
            <c:noEndCap val="0"/>
            <c:plus>
              <c:numRef>
                <c:f>'Post 1'!$J$44:$J$46</c:f>
                <c:numCache>
                  <c:formatCode>General</c:formatCode>
                  <c:ptCount val="3"/>
                  <c:pt idx="0">
                    <c:v>0.66248689714505915</c:v>
                  </c:pt>
                  <c:pt idx="1">
                    <c:v>0.80794664290272256</c:v>
                  </c:pt>
                  <c:pt idx="2">
                    <c:v>0.78528126595931613</c:v>
                  </c:pt>
                </c:numCache>
              </c:numRef>
            </c:plus>
            <c:minus>
              <c:numRef>
                <c:f>'Post 1'!$J$44:$J$46</c:f>
                <c:numCache>
                  <c:formatCode>General</c:formatCode>
                  <c:ptCount val="3"/>
                  <c:pt idx="0">
                    <c:v>0.66248689714505915</c:v>
                  </c:pt>
                  <c:pt idx="1">
                    <c:v>0.80794664290272256</c:v>
                  </c:pt>
                  <c:pt idx="2">
                    <c:v>0.78528126595931613</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1'!$I$44</c:f>
              <c:numCache>
                <c:formatCode>0.00</c:formatCode>
                <c:ptCount val="1"/>
                <c:pt idx="0">
                  <c:v>2.2333333333333334</c:v>
                </c:pt>
              </c:numCache>
            </c:numRef>
          </c:val>
          <c:extLst>
            <c:ext xmlns:c16="http://schemas.microsoft.com/office/drawing/2014/chart" uri="{C3380CC4-5D6E-409C-BE32-E72D297353CC}">
              <c16:uniqueId val="{00000000-595B-4EF6-B394-4CDE4D2F8323}"/>
            </c:ext>
          </c:extLst>
        </c:ser>
        <c:ser>
          <c:idx val="1"/>
          <c:order val="1"/>
          <c:tx>
            <c:strRef>
              <c:f>'Post 1'!$C$45</c:f>
              <c:strCache>
                <c:ptCount val="1"/>
                <c:pt idx="0">
                  <c:v>Pseudonymous</c:v>
                </c:pt>
              </c:strCache>
            </c:strRef>
          </c:tx>
          <c:spPr>
            <a:solidFill>
              <a:schemeClr val="accent1"/>
            </a:solidFill>
            <a:ln>
              <a:noFill/>
            </a:ln>
            <a:effectLst/>
          </c:spPr>
          <c:invertIfNegative val="0"/>
          <c:errBars>
            <c:errBarType val="both"/>
            <c:errValType val="cust"/>
            <c:noEndCap val="0"/>
            <c:plus>
              <c:numRef>
                <c:f>'Post 5'!$J$44:$J$46</c:f>
                <c:numCache>
                  <c:formatCode>General</c:formatCode>
                  <c:ptCount val="3"/>
                  <c:pt idx="0">
                    <c:v>0.62804812271389265</c:v>
                  </c:pt>
                  <c:pt idx="1">
                    <c:v>0.65192024052026476</c:v>
                  </c:pt>
                  <c:pt idx="2">
                    <c:v>1.017895432306831</c:v>
                  </c:pt>
                </c:numCache>
              </c:numRef>
            </c:plus>
            <c:minus>
              <c:numRef>
                <c:f>'Post 5'!$J$44:$J$46</c:f>
                <c:numCache>
                  <c:formatCode>General</c:formatCode>
                  <c:ptCount val="3"/>
                  <c:pt idx="0">
                    <c:v>0.62804812271389265</c:v>
                  </c:pt>
                  <c:pt idx="1">
                    <c:v>0.65192024052026476</c:v>
                  </c:pt>
                  <c:pt idx="2">
                    <c:v>1.017895432306831</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1'!$I$45</c:f>
              <c:numCache>
                <c:formatCode>0.00</c:formatCode>
                <c:ptCount val="1"/>
                <c:pt idx="0">
                  <c:v>2.333333333333333</c:v>
                </c:pt>
              </c:numCache>
            </c:numRef>
          </c:val>
          <c:extLst>
            <c:ext xmlns:c16="http://schemas.microsoft.com/office/drawing/2014/chart" uri="{C3380CC4-5D6E-409C-BE32-E72D297353CC}">
              <c16:uniqueId val="{00000003-595B-4EF6-B394-4CDE4D2F8323}"/>
            </c:ext>
          </c:extLst>
        </c:ser>
        <c:ser>
          <c:idx val="2"/>
          <c:order val="2"/>
          <c:tx>
            <c:strRef>
              <c:f>'Post 1'!$C$46</c:f>
              <c:strCache>
                <c:ptCount val="1"/>
                <c:pt idx="0">
                  <c:v>Non-Anonoymous</c:v>
                </c:pt>
              </c:strCache>
            </c:strRef>
          </c:tx>
          <c:spPr>
            <a:solidFill>
              <a:schemeClr val="accent1">
                <a:tint val="65000"/>
              </a:schemeClr>
            </a:solidFill>
            <a:ln w="15875">
              <a:solidFill>
                <a:schemeClr val="tx1"/>
              </a:solidFill>
            </a:ln>
            <a:effectLst/>
          </c:spPr>
          <c:invertIfNegative val="0"/>
          <c:errBars>
            <c:errBarType val="both"/>
            <c:errValType val="cust"/>
            <c:noEndCap val="0"/>
            <c:plus>
              <c:numRef>
                <c:f>'Post 5'!$J$44:$J$46</c:f>
                <c:numCache>
                  <c:formatCode>General</c:formatCode>
                  <c:ptCount val="3"/>
                  <c:pt idx="0">
                    <c:v>0.62804812271389265</c:v>
                  </c:pt>
                  <c:pt idx="1">
                    <c:v>0.65192024052026476</c:v>
                  </c:pt>
                  <c:pt idx="2">
                    <c:v>1.017895432306831</c:v>
                  </c:pt>
                </c:numCache>
              </c:numRef>
            </c:plus>
            <c:minus>
              <c:numRef>
                <c:f>'Post 5'!$J$44:$J$46</c:f>
                <c:numCache>
                  <c:formatCode>General</c:formatCode>
                  <c:ptCount val="3"/>
                  <c:pt idx="0">
                    <c:v>0.62804812271389265</c:v>
                  </c:pt>
                  <c:pt idx="1">
                    <c:v>0.65192024052026476</c:v>
                  </c:pt>
                  <c:pt idx="2">
                    <c:v>1.017895432306831</c:v>
                  </c:pt>
                </c:numCache>
              </c:numRef>
            </c:minus>
            <c:spPr>
              <a:noFill/>
              <a:ln w="15875" cap="flat" cmpd="sng" algn="ctr">
                <a:solidFill>
                  <a:schemeClr val="tx1"/>
                </a:solidFill>
                <a:round/>
              </a:ln>
              <a:effectLst/>
            </c:spPr>
          </c:errBars>
          <c:cat>
            <c:strRef>
              <c:f>'Post 1'!$I$43</c:f>
              <c:strCache>
                <c:ptCount val="1"/>
                <c:pt idx="0">
                  <c:v>Mean Across Questions</c:v>
                </c:pt>
              </c:strCache>
            </c:strRef>
          </c:cat>
          <c:val>
            <c:numRef>
              <c:f>'Post 1'!$I$46</c:f>
              <c:numCache>
                <c:formatCode>0.00</c:formatCode>
                <c:ptCount val="1"/>
                <c:pt idx="0">
                  <c:v>2.3000000000000003</c:v>
                </c:pt>
              </c:numCache>
            </c:numRef>
          </c:val>
          <c:extLst>
            <c:ext xmlns:c16="http://schemas.microsoft.com/office/drawing/2014/chart" uri="{C3380CC4-5D6E-409C-BE32-E72D297353CC}">
              <c16:uniqueId val="{00000004-595B-4EF6-B394-4CDE4D2F8323}"/>
            </c:ext>
          </c:extLst>
        </c:ser>
        <c:dLbls>
          <c:showLegendKey val="0"/>
          <c:showVal val="0"/>
          <c:showCatName val="0"/>
          <c:showSerName val="0"/>
          <c:showPercent val="0"/>
          <c:showBubbleSize val="0"/>
        </c:dLbls>
        <c:gapWidth val="219"/>
        <c:axId val="1976433200"/>
        <c:axId val="1976434160"/>
      </c:barChart>
      <c:catAx>
        <c:axId val="197643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Identity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4160"/>
        <c:crosses val="autoZero"/>
        <c:auto val="1"/>
        <c:lblAlgn val="ctr"/>
        <c:lblOffset val="100"/>
        <c:noMultiLvlLbl val="0"/>
      </c:catAx>
      <c:valAx>
        <c:axId val="197643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Mean Rating (1-4 Likert Scale)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43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603250</xdr:colOff>
      <xdr:row>49</xdr:row>
      <xdr:rowOff>104774</xdr:rowOff>
    </xdr:from>
    <xdr:to>
      <xdr:col>7</xdr:col>
      <xdr:colOff>837405</xdr:colOff>
      <xdr:row>69</xdr:row>
      <xdr:rowOff>23811</xdr:rowOff>
    </xdr:to>
    <xdr:graphicFrame macro="">
      <xdr:nvGraphicFramePr>
        <xdr:cNvPr id="3" name="Chart 2">
          <a:extLst>
            <a:ext uri="{FF2B5EF4-FFF2-40B4-BE49-F238E27FC236}">
              <a16:creationId xmlns:a16="http://schemas.microsoft.com/office/drawing/2014/main" id="{96864173-886F-1E9C-B904-EFDA49E15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355600</xdr:colOff>
      <xdr:row>49</xdr:row>
      <xdr:rowOff>25400</xdr:rowOff>
    </xdr:from>
    <xdr:to>
      <xdr:col>8</xdr:col>
      <xdr:colOff>224630</xdr:colOff>
      <xdr:row>67</xdr:row>
      <xdr:rowOff>166687</xdr:rowOff>
    </xdr:to>
    <xdr:graphicFrame macro="">
      <xdr:nvGraphicFramePr>
        <xdr:cNvPr id="2" name="Chart 1">
          <a:extLst>
            <a:ext uri="{FF2B5EF4-FFF2-40B4-BE49-F238E27FC236}">
              <a16:creationId xmlns:a16="http://schemas.microsoft.com/office/drawing/2014/main" id="{69E09180-5562-4C40-B095-786E8C1CC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476250</xdr:colOff>
      <xdr:row>48</xdr:row>
      <xdr:rowOff>174625</xdr:rowOff>
    </xdr:from>
    <xdr:to>
      <xdr:col>8</xdr:col>
      <xdr:colOff>440530</xdr:colOff>
      <xdr:row>67</xdr:row>
      <xdr:rowOff>125412</xdr:rowOff>
    </xdr:to>
    <xdr:graphicFrame macro="">
      <xdr:nvGraphicFramePr>
        <xdr:cNvPr id="2" name="Chart 1">
          <a:extLst>
            <a:ext uri="{FF2B5EF4-FFF2-40B4-BE49-F238E27FC236}">
              <a16:creationId xmlns:a16="http://schemas.microsoft.com/office/drawing/2014/main" id="{BDDDAA92-B7EB-4003-B095-D0509E335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50</xdr:row>
      <xdr:rowOff>0</xdr:rowOff>
    </xdr:from>
    <xdr:to>
      <xdr:col>7</xdr:col>
      <xdr:colOff>1075530</xdr:colOff>
      <xdr:row>68</xdr:row>
      <xdr:rowOff>141287</xdr:rowOff>
    </xdr:to>
    <xdr:graphicFrame macro="">
      <xdr:nvGraphicFramePr>
        <xdr:cNvPr id="2" name="Chart 1">
          <a:extLst>
            <a:ext uri="{FF2B5EF4-FFF2-40B4-BE49-F238E27FC236}">
              <a16:creationId xmlns:a16="http://schemas.microsoft.com/office/drawing/2014/main" id="{BC172460-85B8-452E-AD03-9C513C22D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52</xdr:row>
      <xdr:rowOff>0</xdr:rowOff>
    </xdr:from>
    <xdr:to>
      <xdr:col>7</xdr:col>
      <xdr:colOff>631030</xdr:colOff>
      <xdr:row>74</xdr:row>
      <xdr:rowOff>77787</xdr:rowOff>
    </xdr:to>
    <xdr:graphicFrame macro="">
      <xdr:nvGraphicFramePr>
        <xdr:cNvPr id="2" name="Chart 1">
          <a:extLst>
            <a:ext uri="{FF2B5EF4-FFF2-40B4-BE49-F238E27FC236}">
              <a16:creationId xmlns:a16="http://schemas.microsoft.com/office/drawing/2014/main" id="{C6ECEF0B-30F8-4011-9475-EABB74EB9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908B7-65F8-4AA0-83BF-06406200C98C}">
  <dimension ref="A1:J46"/>
  <sheetViews>
    <sheetView tabSelected="1" topLeftCell="I1" zoomScale="80" zoomScaleNormal="80" workbookViewId="0">
      <pane ySplit="2" topLeftCell="A7" activePane="bottomLeft" state="frozen"/>
      <selection pane="bottomLeft" activeCell="L7" sqref="L7"/>
    </sheetView>
  </sheetViews>
  <sheetFormatPr defaultRowHeight="14.5" x14ac:dyDescent="0.35"/>
  <cols>
    <col min="1" max="1" width="11.90625" style="7" customWidth="1"/>
    <col min="2" max="2" width="6.7265625" style="7" customWidth="1"/>
    <col min="3" max="3" width="12.26953125" style="7" customWidth="1"/>
    <col min="4" max="4" width="16.81640625" style="7" customWidth="1"/>
    <col min="5" max="8" width="17" style="7" customWidth="1"/>
    <col min="9" max="9" width="57.7265625" style="7" customWidth="1"/>
    <col min="10" max="10" width="44.90625" style="8" customWidth="1"/>
    <col min="11" max="16384" width="8.7265625" style="7"/>
  </cols>
  <sheetData>
    <row r="1" spans="1:10" s="25" customFormat="1" ht="18" x14ac:dyDescent="0.35">
      <c r="A1" s="71" t="s">
        <v>0</v>
      </c>
      <c r="B1" s="72"/>
      <c r="C1" s="72"/>
      <c r="D1" s="72"/>
      <c r="E1" s="72"/>
      <c r="F1" s="72"/>
      <c r="G1" s="72"/>
      <c r="H1" s="72"/>
      <c r="I1" s="72"/>
      <c r="J1" s="73"/>
    </row>
    <row r="2" spans="1:10" s="26" customFormat="1" ht="26" x14ac:dyDescent="0.35">
      <c r="A2" s="63" t="s">
        <v>1</v>
      </c>
      <c r="B2" s="63" t="s">
        <v>2</v>
      </c>
      <c r="C2" s="63" t="s">
        <v>146</v>
      </c>
      <c r="D2" s="63" t="s">
        <v>187</v>
      </c>
      <c r="E2" s="63" t="s">
        <v>3</v>
      </c>
      <c r="F2" s="63" t="s">
        <v>150</v>
      </c>
      <c r="G2" s="63" t="s">
        <v>151</v>
      </c>
      <c r="H2" s="63" t="s">
        <v>152</v>
      </c>
      <c r="I2" s="63" t="s">
        <v>5</v>
      </c>
      <c r="J2" s="63" t="s">
        <v>142</v>
      </c>
    </row>
    <row r="3" spans="1:10" x14ac:dyDescent="0.35">
      <c r="A3" s="61">
        <v>3</v>
      </c>
      <c r="B3" s="1" t="s">
        <v>12</v>
      </c>
      <c r="C3" s="1" t="s">
        <v>12</v>
      </c>
      <c r="D3" s="1">
        <v>4</v>
      </c>
      <c r="E3" s="1">
        <v>3</v>
      </c>
      <c r="F3" s="1">
        <v>1</v>
      </c>
      <c r="G3" s="1">
        <v>2</v>
      </c>
      <c r="H3" s="1">
        <v>3</v>
      </c>
      <c r="I3" s="62" t="s">
        <v>13</v>
      </c>
      <c r="J3" s="28" t="s">
        <v>110</v>
      </c>
    </row>
    <row r="4" spans="1:10" ht="20" x14ac:dyDescent="0.35">
      <c r="A4" s="61">
        <v>4</v>
      </c>
      <c r="B4" s="1" t="s">
        <v>12</v>
      </c>
      <c r="C4" s="1" t="s">
        <v>12</v>
      </c>
      <c r="D4" s="1">
        <v>2</v>
      </c>
      <c r="E4" s="1">
        <v>2</v>
      </c>
      <c r="F4" s="1">
        <v>3</v>
      </c>
      <c r="G4" s="1">
        <v>3</v>
      </c>
      <c r="H4" s="1">
        <v>1</v>
      </c>
      <c r="I4" s="62" t="s">
        <v>15</v>
      </c>
      <c r="J4" s="28" t="s">
        <v>126</v>
      </c>
    </row>
    <row r="5" spans="1:10" x14ac:dyDescent="0.35">
      <c r="A5" s="61">
        <v>9</v>
      </c>
      <c r="B5" s="1" t="s">
        <v>12</v>
      </c>
      <c r="C5" s="1" t="s">
        <v>12</v>
      </c>
      <c r="D5" s="1">
        <v>4</v>
      </c>
      <c r="E5" s="1">
        <v>3</v>
      </c>
      <c r="F5" s="1">
        <v>1</v>
      </c>
      <c r="G5" s="1">
        <v>3</v>
      </c>
      <c r="H5" s="1">
        <v>1</v>
      </c>
      <c r="I5" s="62" t="s">
        <v>21</v>
      </c>
      <c r="J5" s="28" t="s">
        <v>22</v>
      </c>
    </row>
    <row r="6" spans="1:10" x14ac:dyDescent="0.35">
      <c r="A6" s="61">
        <v>10</v>
      </c>
      <c r="B6" s="1" t="s">
        <v>12</v>
      </c>
      <c r="C6" s="1" t="s">
        <v>12</v>
      </c>
      <c r="D6" s="1">
        <v>3</v>
      </c>
      <c r="E6" s="1">
        <v>3</v>
      </c>
      <c r="F6" s="1">
        <v>1</v>
      </c>
      <c r="G6" s="1">
        <v>3</v>
      </c>
      <c r="H6" s="1">
        <v>2</v>
      </c>
      <c r="I6" s="62" t="s">
        <v>23</v>
      </c>
      <c r="J6" s="28" t="s">
        <v>113</v>
      </c>
    </row>
    <row r="7" spans="1:10" ht="20" x14ac:dyDescent="0.35">
      <c r="A7" s="61">
        <v>15</v>
      </c>
      <c r="B7" s="1" t="s">
        <v>12</v>
      </c>
      <c r="C7" s="1" t="s">
        <v>12</v>
      </c>
      <c r="D7" s="1">
        <v>3</v>
      </c>
      <c r="E7" s="1">
        <v>1</v>
      </c>
      <c r="F7" s="1">
        <v>1</v>
      </c>
      <c r="G7" s="1">
        <v>3</v>
      </c>
      <c r="H7" s="1">
        <v>1</v>
      </c>
      <c r="I7" s="62" t="s">
        <v>28</v>
      </c>
      <c r="J7" s="28" t="s">
        <v>29</v>
      </c>
    </row>
    <row r="8" spans="1:10" x14ac:dyDescent="0.35">
      <c r="A8" s="61">
        <v>18</v>
      </c>
      <c r="B8" s="1" t="s">
        <v>12</v>
      </c>
      <c r="C8" s="1" t="s">
        <v>12</v>
      </c>
      <c r="D8" s="1">
        <v>2</v>
      </c>
      <c r="E8" s="1">
        <v>2</v>
      </c>
      <c r="F8" s="1">
        <v>1</v>
      </c>
      <c r="G8" s="1">
        <v>2</v>
      </c>
      <c r="H8" s="1">
        <v>3</v>
      </c>
      <c r="I8" s="62"/>
      <c r="J8" s="28"/>
    </row>
    <row r="9" spans="1:10" x14ac:dyDescent="0.35">
      <c r="A9" s="57">
        <v>2</v>
      </c>
      <c r="B9" s="58" t="s">
        <v>9</v>
      </c>
      <c r="C9" s="58" t="s">
        <v>9</v>
      </c>
      <c r="D9" s="58">
        <v>2</v>
      </c>
      <c r="E9" s="58">
        <v>3</v>
      </c>
      <c r="F9" s="58">
        <v>1</v>
      </c>
      <c r="G9" s="58">
        <v>3</v>
      </c>
      <c r="H9" s="58">
        <v>3</v>
      </c>
      <c r="I9" s="59" t="s">
        <v>10</v>
      </c>
      <c r="J9" s="60" t="s">
        <v>11</v>
      </c>
    </row>
    <row r="10" spans="1:10" x14ac:dyDescent="0.35">
      <c r="A10" s="57">
        <v>6</v>
      </c>
      <c r="B10" s="58" t="s">
        <v>9</v>
      </c>
      <c r="C10" s="58" t="s">
        <v>9</v>
      </c>
      <c r="D10" s="58">
        <v>4</v>
      </c>
      <c r="E10" s="58">
        <v>2</v>
      </c>
      <c r="F10" s="58">
        <v>1</v>
      </c>
      <c r="G10" s="58">
        <v>3</v>
      </c>
      <c r="H10" s="58">
        <v>1</v>
      </c>
      <c r="I10" s="59" t="s">
        <v>127</v>
      </c>
      <c r="J10" s="60" t="s">
        <v>130</v>
      </c>
    </row>
    <row r="11" spans="1:10" ht="20" x14ac:dyDescent="0.35">
      <c r="A11" s="57">
        <v>8</v>
      </c>
      <c r="B11" s="58" t="s">
        <v>9</v>
      </c>
      <c r="C11" s="58" t="s">
        <v>9</v>
      </c>
      <c r="D11" s="58">
        <v>2</v>
      </c>
      <c r="E11" s="58">
        <v>3</v>
      </c>
      <c r="F11" s="58">
        <v>1</v>
      </c>
      <c r="G11" s="58">
        <v>3</v>
      </c>
      <c r="H11" s="58">
        <v>3</v>
      </c>
      <c r="I11" s="59" t="s">
        <v>20</v>
      </c>
      <c r="J11" s="60" t="s">
        <v>17</v>
      </c>
    </row>
    <row r="12" spans="1:10" x14ac:dyDescent="0.35">
      <c r="A12" s="57">
        <v>12</v>
      </c>
      <c r="B12" s="58" t="s">
        <v>9</v>
      </c>
      <c r="C12" s="58" t="s">
        <v>9</v>
      </c>
      <c r="D12" s="58">
        <v>3</v>
      </c>
      <c r="E12" s="58">
        <v>2</v>
      </c>
      <c r="F12" s="58">
        <v>1</v>
      </c>
      <c r="G12" s="58">
        <v>3</v>
      </c>
      <c r="H12" s="58">
        <v>3</v>
      </c>
      <c r="I12" s="59" t="s">
        <v>25</v>
      </c>
      <c r="J12" s="60" t="s">
        <v>17</v>
      </c>
    </row>
    <row r="13" spans="1:10" x14ac:dyDescent="0.35">
      <c r="A13" s="57">
        <v>14</v>
      </c>
      <c r="B13" s="58" t="s">
        <v>9</v>
      </c>
      <c r="C13" s="58" t="s">
        <v>9</v>
      </c>
      <c r="D13" s="58">
        <v>2</v>
      </c>
      <c r="E13" s="58">
        <v>2</v>
      </c>
      <c r="F13" s="58">
        <v>1</v>
      </c>
      <c r="G13" s="58">
        <v>3</v>
      </c>
      <c r="H13" s="58">
        <v>1</v>
      </c>
      <c r="I13" s="59" t="s">
        <v>27</v>
      </c>
      <c r="J13" s="60"/>
    </row>
    <row r="14" spans="1:10" x14ac:dyDescent="0.35">
      <c r="A14" s="57">
        <v>16</v>
      </c>
      <c r="B14" s="58" t="s">
        <v>9</v>
      </c>
      <c r="C14" s="58" t="s">
        <v>9</v>
      </c>
      <c r="D14" s="58">
        <v>4</v>
      </c>
      <c r="E14" s="58">
        <v>2</v>
      </c>
      <c r="F14" s="58">
        <v>1</v>
      </c>
      <c r="G14" s="58">
        <v>3</v>
      </c>
      <c r="H14" s="58">
        <v>3</v>
      </c>
      <c r="I14" s="59" t="s">
        <v>173</v>
      </c>
      <c r="J14" s="60" t="s">
        <v>22</v>
      </c>
    </row>
    <row r="15" spans="1:10" x14ac:dyDescent="0.35">
      <c r="A15" s="53">
        <v>1</v>
      </c>
      <c r="B15" s="54" t="s">
        <v>6</v>
      </c>
      <c r="C15" s="54" t="s">
        <v>6</v>
      </c>
      <c r="D15" s="54">
        <v>3</v>
      </c>
      <c r="E15" s="54">
        <v>2</v>
      </c>
      <c r="F15" s="54">
        <v>1</v>
      </c>
      <c r="G15" s="54">
        <v>3</v>
      </c>
      <c r="H15" s="54">
        <v>2</v>
      </c>
      <c r="I15" s="55" t="s">
        <v>7</v>
      </c>
      <c r="J15" s="56" t="s">
        <v>8</v>
      </c>
    </row>
    <row r="16" spans="1:10" ht="20" x14ac:dyDescent="0.35">
      <c r="A16" s="53">
        <v>5</v>
      </c>
      <c r="B16" s="54" t="s">
        <v>6</v>
      </c>
      <c r="C16" s="54" t="s">
        <v>6</v>
      </c>
      <c r="D16" s="54">
        <v>2</v>
      </c>
      <c r="E16" s="54">
        <v>2</v>
      </c>
      <c r="F16" s="54">
        <v>1</v>
      </c>
      <c r="G16" s="54">
        <v>2</v>
      </c>
      <c r="H16" s="54">
        <v>4</v>
      </c>
      <c r="I16" s="55" t="s">
        <v>16</v>
      </c>
      <c r="J16" s="56" t="s">
        <v>131</v>
      </c>
    </row>
    <row r="17" spans="1:10" ht="30" x14ac:dyDescent="0.35">
      <c r="A17" s="53">
        <v>7</v>
      </c>
      <c r="B17" s="54" t="s">
        <v>6</v>
      </c>
      <c r="C17" s="54" t="s">
        <v>6</v>
      </c>
      <c r="D17" s="54">
        <v>3</v>
      </c>
      <c r="E17" s="54">
        <v>2</v>
      </c>
      <c r="F17" s="54">
        <v>1</v>
      </c>
      <c r="G17" s="54">
        <v>3</v>
      </c>
      <c r="H17" s="54">
        <v>1</v>
      </c>
      <c r="I17" s="55" t="s">
        <v>18</v>
      </c>
      <c r="J17" s="56" t="s">
        <v>19</v>
      </c>
    </row>
    <row r="18" spans="1:10" ht="20" x14ac:dyDescent="0.35">
      <c r="A18" s="53">
        <v>11</v>
      </c>
      <c r="B18" s="54" t="s">
        <v>6</v>
      </c>
      <c r="C18" s="54" t="s">
        <v>6</v>
      </c>
      <c r="D18" s="54">
        <v>2</v>
      </c>
      <c r="E18" s="54">
        <v>2</v>
      </c>
      <c r="F18" s="54">
        <v>1</v>
      </c>
      <c r="G18" s="54">
        <v>4</v>
      </c>
      <c r="H18" s="54">
        <v>1</v>
      </c>
      <c r="I18" s="55" t="s">
        <v>24</v>
      </c>
      <c r="J18" s="56" t="s">
        <v>130</v>
      </c>
    </row>
    <row r="19" spans="1:10" ht="20" x14ac:dyDescent="0.35">
      <c r="A19" s="53">
        <v>13</v>
      </c>
      <c r="B19" s="54" t="s">
        <v>6</v>
      </c>
      <c r="C19" s="54" t="s">
        <v>6</v>
      </c>
      <c r="D19" s="54">
        <v>3</v>
      </c>
      <c r="E19" s="54">
        <v>2</v>
      </c>
      <c r="F19" s="54">
        <v>1</v>
      </c>
      <c r="G19" s="54">
        <v>4</v>
      </c>
      <c r="H19" s="54">
        <v>3</v>
      </c>
      <c r="I19" s="55" t="s">
        <v>26</v>
      </c>
      <c r="J19" s="56" t="s">
        <v>22</v>
      </c>
    </row>
    <row r="20" spans="1:10" ht="20" x14ac:dyDescent="0.35">
      <c r="A20" s="65">
        <v>17</v>
      </c>
      <c r="B20" s="66" t="s">
        <v>6</v>
      </c>
      <c r="C20" s="66" t="s">
        <v>6</v>
      </c>
      <c r="D20" s="66">
        <v>3</v>
      </c>
      <c r="E20" s="66">
        <v>4</v>
      </c>
      <c r="F20" s="66">
        <v>1</v>
      </c>
      <c r="G20" s="66">
        <v>3</v>
      </c>
      <c r="H20" s="66">
        <v>4</v>
      </c>
      <c r="I20" s="67" t="s">
        <v>159</v>
      </c>
      <c r="J20" s="68" t="s">
        <v>17</v>
      </c>
    </row>
    <row r="21" spans="1:10" x14ac:dyDescent="0.35">
      <c r="A21" s="1"/>
      <c r="B21" s="1"/>
      <c r="C21" s="1"/>
      <c r="D21" s="1"/>
      <c r="E21" s="1"/>
      <c r="F21" s="1"/>
      <c r="G21" s="1"/>
      <c r="H21" s="1"/>
      <c r="I21" s="2"/>
      <c r="J21" s="2"/>
    </row>
    <row r="22" spans="1:10" x14ac:dyDescent="0.35">
      <c r="A22" s="82" t="s">
        <v>144</v>
      </c>
      <c r="B22" s="83"/>
      <c r="C22" s="83"/>
      <c r="D22" s="48" t="s">
        <v>145</v>
      </c>
      <c r="E22" s="49"/>
      <c r="F22" s="49"/>
      <c r="G22" s="49"/>
      <c r="H22" s="49"/>
      <c r="I22" s="49"/>
      <c r="J22" s="47"/>
    </row>
    <row r="23" spans="1:10" x14ac:dyDescent="0.35">
      <c r="A23" s="74" t="s">
        <v>107</v>
      </c>
      <c r="B23" s="75"/>
      <c r="C23" s="75"/>
      <c r="D23" s="46">
        <f>AVERAGE(D3:D20)</f>
        <v>2.8333333333333335</v>
      </c>
      <c r="E23" s="46">
        <f t="shared" ref="E23:H23" si="0">AVERAGE(E3:E20)</f>
        <v>2.3333333333333335</v>
      </c>
      <c r="F23" s="46">
        <f t="shared" si="0"/>
        <v>1.1111111111111112</v>
      </c>
      <c r="G23" s="46">
        <f t="shared" si="0"/>
        <v>2.9444444444444446</v>
      </c>
      <c r="H23" s="46">
        <f t="shared" si="0"/>
        <v>2.2222222222222223</v>
      </c>
      <c r="I23" s="45" t="s">
        <v>111</v>
      </c>
      <c r="J23" s="47" t="s">
        <v>174</v>
      </c>
    </row>
    <row r="24" spans="1:10" x14ac:dyDescent="0.35">
      <c r="A24" s="76" t="s">
        <v>108</v>
      </c>
      <c r="B24" s="77"/>
      <c r="C24" s="77"/>
      <c r="D24" s="14">
        <f>MEDIAN(D3:D20)</f>
        <v>3</v>
      </c>
      <c r="E24" s="14">
        <f t="shared" ref="E24:H24" si="1">MEDIAN(E3:E20)</f>
        <v>2</v>
      </c>
      <c r="F24" s="14">
        <f t="shared" si="1"/>
        <v>1</v>
      </c>
      <c r="G24" s="14">
        <f t="shared" si="1"/>
        <v>3</v>
      </c>
      <c r="H24" s="14">
        <f t="shared" si="1"/>
        <v>2.5</v>
      </c>
      <c r="I24" s="14"/>
      <c r="J24" s="13"/>
    </row>
    <row r="25" spans="1:10" ht="29" x14ac:dyDescent="0.35">
      <c r="A25" s="78" t="s">
        <v>109</v>
      </c>
      <c r="B25" s="79"/>
      <c r="C25" s="79"/>
      <c r="D25" s="52">
        <f>_xlfn.STDEV.S(D3:D20)</f>
        <v>0.7859052479933758</v>
      </c>
      <c r="E25" s="52">
        <f t="shared" ref="E25:H25" si="2">_xlfn.STDEV.S(E3:E20)</f>
        <v>0.68599434057003539</v>
      </c>
      <c r="F25" s="52">
        <f t="shared" si="2"/>
        <v>0.47140452079103173</v>
      </c>
      <c r="G25" s="52">
        <f t="shared" si="2"/>
        <v>0.53930480546961113</v>
      </c>
      <c r="H25" s="52">
        <f t="shared" si="2"/>
        <v>1.1143742932064959</v>
      </c>
      <c r="I25" s="15" t="s">
        <v>112</v>
      </c>
      <c r="J25" s="16" t="s">
        <v>132</v>
      </c>
    </row>
    <row r="27" spans="1:10" x14ac:dyDescent="0.35">
      <c r="A27" s="84" t="s">
        <v>134</v>
      </c>
      <c r="B27" s="85"/>
      <c r="C27" s="85"/>
      <c r="D27" s="21" t="s">
        <v>143</v>
      </c>
      <c r="E27" s="9"/>
      <c r="F27" s="9"/>
      <c r="G27" s="9"/>
      <c r="H27" s="9"/>
      <c r="I27" s="9"/>
      <c r="J27" s="10"/>
    </row>
    <row r="28" spans="1:10" x14ac:dyDescent="0.35">
      <c r="A28" s="76" t="s">
        <v>107</v>
      </c>
      <c r="B28" s="77"/>
      <c r="C28" s="77"/>
      <c r="D28" s="12">
        <f>AVERAGE(D3:D8)</f>
        <v>3</v>
      </c>
      <c r="E28" s="12">
        <f t="shared" ref="E28:H28" si="3">AVERAGE(E3:E8)</f>
        <v>2.3333333333333335</v>
      </c>
      <c r="F28" s="12">
        <f t="shared" si="3"/>
        <v>1.3333333333333333</v>
      </c>
      <c r="G28" s="12">
        <f t="shared" si="3"/>
        <v>2.6666666666666665</v>
      </c>
      <c r="H28" s="12">
        <f t="shared" si="3"/>
        <v>1.8333333333333333</v>
      </c>
      <c r="I28" s="11" t="s">
        <v>111</v>
      </c>
      <c r="J28" s="13" t="s">
        <v>137</v>
      </c>
    </row>
    <row r="29" spans="1:10" x14ac:dyDescent="0.35">
      <c r="A29" s="76" t="s">
        <v>108</v>
      </c>
      <c r="B29" s="77"/>
      <c r="C29" s="77"/>
      <c r="D29" s="14">
        <f>MEDIAN(D3:D8)</f>
        <v>3</v>
      </c>
      <c r="E29" s="14">
        <f t="shared" ref="E29:H29" si="4">MEDIAN(E3:E8)</f>
        <v>2.5</v>
      </c>
      <c r="F29" s="14">
        <f t="shared" si="4"/>
        <v>1</v>
      </c>
      <c r="G29" s="14">
        <f t="shared" si="4"/>
        <v>3</v>
      </c>
      <c r="H29" s="14">
        <f t="shared" si="4"/>
        <v>1.5</v>
      </c>
      <c r="I29" s="14"/>
      <c r="J29" s="13"/>
    </row>
    <row r="30" spans="1:10" x14ac:dyDescent="0.35">
      <c r="A30" s="78" t="s">
        <v>109</v>
      </c>
      <c r="B30" s="79"/>
      <c r="C30" s="79"/>
      <c r="D30" s="52">
        <f>_xlfn.STDEV.S(D3:D8)</f>
        <v>0.89442719099991586</v>
      </c>
      <c r="E30" s="52">
        <f t="shared" ref="E30:H30" si="5">_xlfn.STDEV.S(E3:E8)</f>
        <v>0.81649658092772637</v>
      </c>
      <c r="F30" s="52">
        <f t="shared" si="5"/>
        <v>0.81649658092772603</v>
      </c>
      <c r="G30" s="52">
        <f t="shared" si="5"/>
        <v>0.51639777949432275</v>
      </c>
      <c r="H30" s="52">
        <f t="shared" si="5"/>
        <v>0.9831920802501749</v>
      </c>
      <c r="I30" s="15" t="s">
        <v>112</v>
      </c>
      <c r="J30" s="16" t="s">
        <v>138</v>
      </c>
    </row>
    <row r="31" spans="1:10" x14ac:dyDescent="0.35">
      <c r="C31" s="6"/>
    </row>
    <row r="32" spans="1:10" x14ac:dyDescent="0.35">
      <c r="A32" s="86" t="s">
        <v>135</v>
      </c>
      <c r="B32" s="87"/>
      <c r="C32" s="87"/>
      <c r="D32" s="22" t="s">
        <v>143</v>
      </c>
      <c r="E32" s="17"/>
      <c r="F32" s="17"/>
      <c r="G32" s="17"/>
      <c r="H32" s="17"/>
      <c r="I32" s="17"/>
      <c r="J32" s="18"/>
    </row>
    <row r="33" spans="1:10" x14ac:dyDescent="0.35">
      <c r="A33" s="76" t="s">
        <v>107</v>
      </c>
      <c r="B33" s="77"/>
      <c r="C33" s="77"/>
      <c r="D33" s="12">
        <f>AVERAGE(D15:D20)</f>
        <v>2.6666666666666665</v>
      </c>
      <c r="E33" s="12">
        <f t="shared" ref="E33:H33" si="6">AVERAGE(E15:E20)</f>
        <v>2.3333333333333335</v>
      </c>
      <c r="F33" s="12">
        <f t="shared" si="6"/>
        <v>1</v>
      </c>
      <c r="G33" s="12">
        <f t="shared" si="6"/>
        <v>3.1666666666666665</v>
      </c>
      <c r="H33" s="12">
        <f t="shared" si="6"/>
        <v>2.5</v>
      </c>
      <c r="I33" s="11" t="s">
        <v>111</v>
      </c>
      <c r="J33" s="13" t="s">
        <v>160</v>
      </c>
    </row>
    <row r="34" spans="1:10" x14ac:dyDescent="0.35">
      <c r="A34" s="76" t="s">
        <v>108</v>
      </c>
      <c r="B34" s="77"/>
      <c r="C34" s="77"/>
      <c r="D34" s="14">
        <f>MEDIAN(D15:D20)</f>
        <v>3</v>
      </c>
      <c r="E34" s="14">
        <f>MEDIAN(E15:E20)</f>
        <v>2</v>
      </c>
      <c r="F34" s="14">
        <f t="shared" ref="F34:H34" si="7">MEDIAN(F15:F20)</f>
        <v>1</v>
      </c>
      <c r="G34" s="14">
        <f t="shared" si="7"/>
        <v>3</v>
      </c>
      <c r="H34" s="14">
        <f t="shared" si="7"/>
        <v>2.5</v>
      </c>
      <c r="I34" s="14"/>
      <c r="J34" s="13"/>
    </row>
    <row r="35" spans="1:10" x14ac:dyDescent="0.35">
      <c r="A35" s="78" t="s">
        <v>109</v>
      </c>
      <c r="B35" s="79"/>
      <c r="C35" s="79"/>
      <c r="D35" s="52">
        <f>_xlfn.STDEV.S(D15:D20)</f>
        <v>0.51639777949432275</v>
      </c>
      <c r="E35" s="52">
        <f t="shared" ref="E35:H35" si="8">_xlfn.STDEV.S(E15:E20)</f>
        <v>0.81649658092772637</v>
      </c>
      <c r="F35" s="52">
        <f t="shared" si="8"/>
        <v>0</v>
      </c>
      <c r="G35" s="52">
        <f t="shared" si="8"/>
        <v>0.75277265270908122</v>
      </c>
      <c r="H35" s="52">
        <f t="shared" si="8"/>
        <v>1.3784048752090221</v>
      </c>
      <c r="I35" s="15" t="s">
        <v>112</v>
      </c>
      <c r="J35" s="16" t="s">
        <v>140</v>
      </c>
    </row>
    <row r="36" spans="1:10" x14ac:dyDescent="0.35">
      <c r="C36" s="6"/>
    </row>
    <row r="37" spans="1:10" x14ac:dyDescent="0.35">
      <c r="A37" s="80" t="s">
        <v>136</v>
      </c>
      <c r="B37" s="81"/>
      <c r="C37" s="81"/>
      <c r="D37" s="23" t="s">
        <v>143</v>
      </c>
      <c r="E37" s="19"/>
      <c r="F37" s="19"/>
      <c r="G37" s="19"/>
      <c r="H37" s="19"/>
      <c r="I37" s="19"/>
      <c r="J37" s="20"/>
    </row>
    <row r="38" spans="1:10" x14ac:dyDescent="0.35">
      <c r="A38" s="76" t="s">
        <v>107</v>
      </c>
      <c r="B38" s="77"/>
      <c r="C38" s="77"/>
      <c r="D38" s="12">
        <f>AVERAGE(D9:D14)</f>
        <v>2.8333333333333335</v>
      </c>
      <c r="E38" s="12">
        <f t="shared" ref="E38:H38" si="9">AVERAGE(E9:E14)</f>
        <v>2.3333333333333335</v>
      </c>
      <c r="F38" s="12">
        <f t="shared" si="9"/>
        <v>1</v>
      </c>
      <c r="G38" s="12">
        <f t="shared" si="9"/>
        <v>3</v>
      </c>
      <c r="H38" s="12">
        <f t="shared" si="9"/>
        <v>2.3333333333333335</v>
      </c>
      <c r="I38" s="11" t="s">
        <v>111</v>
      </c>
      <c r="J38" s="13" t="s">
        <v>141</v>
      </c>
    </row>
    <row r="39" spans="1:10" x14ac:dyDescent="0.35">
      <c r="A39" s="76" t="s">
        <v>108</v>
      </c>
      <c r="B39" s="77"/>
      <c r="C39" s="77"/>
      <c r="D39" s="14">
        <f>MEDIAN(D9:D14)</f>
        <v>2.5</v>
      </c>
      <c r="E39" s="14">
        <f t="shared" ref="E39:H39" si="10">MEDIAN(E9:E14)</f>
        <v>2</v>
      </c>
      <c r="F39" s="14">
        <f t="shared" si="10"/>
        <v>1</v>
      </c>
      <c r="G39" s="14">
        <f t="shared" si="10"/>
        <v>3</v>
      </c>
      <c r="H39" s="14">
        <f t="shared" si="10"/>
        <v>3</v>
      </c>
      <c r="I39" s="14"/>
      <c r="J39" s="13"/>
    </row>
    <row r="40" spans="1:10" x14ac:dyDescent="0.35">
      <c r="A40" s="78" t="s">
        <v>109</v>
      </c>
      <c r="B40" s="79"/>
      <c r="C40" s="79"/>
      <c r="D40" s="52">
        <f>_xlfn.STDEV.S(D9:D14)</f>
        <v>0.98319208025017524</v>
      </c>
      <c r="E40" s="52">
        <f t="shared" ref="E40:H40" si="11">_xlfn.STDEV.S(E9:E14)</f>
        <v>0.51639777949432275</v>
      </c>
      <c r="F40" s="52">
        <f t="shared" si="11"/>
        <v>0</v>
      </c>
      <c r="G40" s="52">
        <f t="shared" si="11"/>
        <v>0</v>
      </c>
      <c r="H40" s="52">
        <f t="shared" si="11"/>
        <v>1.0327955589886446</v>
      </c>
      <c r="I40" s="15" t="s">
        <v>112</v>
      </c>
      <c r="J40" s="16"/>
    </row>
    <row r="43" spans="1:10" x14ac:dyDescent="0.35">
      <c r="C43" s="7" t="s">
        <v>189</v>
      </c>
      <c r="D43" s="7" t="s">
        <v>190</v>
      </c>
      <c r="E43" s="7" t="s">
        <v>191</v>
      </c>
      <c r="F43" s="7" t="s">
        <v>192</v>
      </c>
      <c r="G43" s="7" t="s">
        <v>193</v>
      </c>
      <c r="H43" s="7" t="s">
        <v>194</v>
      </c>
      <c r="I43" s="7" t="s">
        <v>198</v>
      </c>
      <c r="J43" s="8" t="s">
        <v>199</v>
      </c>
    </row>
    <row r="44" spans="1:10" x14ac:dyDescent="0.35">
      <c r="C44" s="7" t="s">
        <v>195</v>
      </c>
      <c r="D44" s="12">
        <f>D28</f>
        <v>3</v>
      </c>
      <c r="E44" s="12">
        <f t="shared" ref="E44:H44" si="12">E28</f>
        <v>2.3333333333333335</v>
      </c>
      <c r="F44" s="12">
        <f t="shared" si="12"/>
        <v>1.3333333333333333</v>
      </c>
      <c r="G44" s="12">
        <f t="shared" si="12"/>
        <v>2.6666666666666665</v>
      </c>
      <c r="H44" s="12">
        <f t="shared" si="12"/>
        <v>1.8333333333333333</v>
      </c>
      <c r="I44" s="70">
        <f>AVERAGE(D44:H44)</f>
        <v>2.2333333333333334</v>
      </c>
      <c r="J44" s="8">
        <f>_xlfn.STDEV.S(D44:H44)</f>
        <v>0.66248689714505915</v>
      </c>
    </row>
    <row r="45" spans="1:10" x14ac:dyDescent="0.35">
      <c r="C45" s="7" t="s">
        <v>196</v>
      </c>
      <c r="D45" s="12">
        <f>D33</f>
        <v>2.6666666666666665</v>
      </c>
      <c r="E45" s="12">
        <f t="shared" ref="E45:H45" si="13">E33</f>
        <v>2.3333333333333335</v>
      </c>
      <c r="F45" s="12">
        <f t="shared" si="13"/>
        <v>1</v>
      </c>
      <c r="G45" s="12">
        <f t="shared" si="13"/>
        <v>3.1666666666666665</v>
      </c>
      <c r="H45" s="12">
        <f t="shared" si="13"/>
        <v>2.5</v>
      </c>
      <c r="I45" s="70">
        <f t="shared" ref="I45:I46" si="14">AVERAGE(D45:H45)</f>
        <v>2.333333333333333</v>
      </c>
      <c r="J45" s="8">
        <f t="shared" ref="J45:J46" si="15">_xlfn.STDEV.S(D45:H45)</f>
        <v>0.80794664290272256</v>
      </c>
    </row>
    <row r="46" spans="1:10" x14ac:dyDescent="0.35">
      <c r="C46" s="7" t="s">
        <v>197</v>
      </c>
      <c r="D46" s="12">
        <f>D38</f>
        <v>2.8333333333333335</v>
      </c>
      <c r="E46" s="12">
        <f t="shared" ref="E46:H46" si="16">E38</f>
        <v>2.3333333333333335</v>
      </c>
      <c r="F46" s="12">
        <f>F38</f>
        <v>1</v>
      </c>
      <c r="G46" s="12">
        <f t="shared" si="16"/>
        <v>3</v>
      </c>
      <c r="H46" s="12">
        <f t="shared" si="16"/>
        <v>2.3333333333333335</v>
      </c>
      <c r="I46" s="70">
        <f t="shared" si="14"/>
        <v>2.3000000000000003</v>
      </c>
      <c r="J46" s="8">
        <f t="shared" si="15"/>
        <v>0.78528126595931613</v>
      </c>
    </row>
  </sheetData>
  <sortState xmlns:xlrd2="http://schemas.microsoft.com/office/spreadsheetml/2017/richdata2" ref="A3:J20">
    <sortCondition ref="B3:B20"/>
  </sortState>
  <mergeCells count="17">
    <mergeCell ref="A37:C37"/>
    <mergeCell ref="A38:C38"/>
    <mergeCell ref="A39:C39"/>
    <mergeCell ref="A40:C40"/>
    <mergeCell ref="A22:C22"/>
    <mergeCell ref="A30:C30"/>
    <mergeCell ref="A27:C27"/>
    <mergeCell ref="A32:C32"/>
    <mergeCell ref="A33:C33"/>
    <mergeCell ref="A34:C34"/>
    <mergeCell ref="A35:C35"/>
    <mergeCell ref="A29:C29"/>
    <mergeCell ref="A1:J1"/>
    <mergeCell ref="A23:C23"/>
    <mergeCell ref="A24:C24"/>
    <mergeCell ref="A25:C25"/>
    <mergeCell ref="A28:C2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0EFB-3D30-4CA9-961F-A7BFD3E2ACC5}">
  <dimension ref="A1:J46"/>
  <sheetViews>
    <sheetView topLeftCell="H1" zoomScale="72" zoomScaleNormal="50" workbookViewId="0">
      <pane ySplit="2" topLeftCell="A3" activePane="bottomLeft" state="frozen"/>
      <selection pane="bottomLeft" activeCell="M21" sqref="M21"/>
    </sheetView>
  </sheetViews>
  <sheetFormatPr defaultRowHeight="14.5" x14ac:dyDescent="0.35"/>
  <cols>
    <col min="1" max="1" width="11.7265625" customWidth="1"/>
    <col min="2" max="2" width="6.7265625" customWidth="1"/>
    <col min="3" max="3" width="10.08984375" customWidth="1"/>
    <col min="4" max="8" width="17.08984375" customWidth="1"/>
    <col min="9" max="9" width="57.7265625" customWidth="1"/>
    <col min="10" max="10" width="44.90625" style="3" customWidth="1"/>
  </cols>
  <sheetData>
    <row r="1" spans="1:10" s="25" customFormat="1" ht="18" x14ac:dyDescent="0.35">
      <c r="A1" s="71" t="s">
        <v>30</v>
      </c>
      <c r="B1" s="72"/>
      <c r="C1" s="72"/>
      <c r="D1" s="72"/>
      <c r="E1" s="72"/>
      <c r="F1" s="72"/>
      <c r="G1" s="72"/>
      <c r="H1" s="72"/>
      <c r="I1" s="72"/>
      <c r="J1" s="73"/>
    </row>
    <row r="2" spans="1:10" s="26" customFormat="1" ht="26.5" customHeight="1" x14ac:dyDescent="0.35">
      <c r="A2" s="63" t="s">
        <v>1</v>
      </c>
      <c r="B2" s="63" t="s">
        <v>2</v>
      </c>
      <c r="C2" s="63" t="s">
        <v>146</v>
      </c>
      <c r="D2" s="63" t="s">
        <v>188</v>
      </c>
      <c r="E2" s="63" t="s">
        <v>3</v>
      </c>
      <c r="F2" s="63" t="s">
        <v>150</v>
      </c>
      <c r="G2" s="63" t="s">
        <v>151</v>
      </c>
      <c r="H2" s="63" t="s">
        <v>152</v>
      </c>
      <c r="I2" s="63" t="s">
        <v>5</v>
      </c>
      <c r="J2" s="63" t="s">
        <v>142</v>
      </c>
    </row>
    <row r="3" spans="1:10" ht="20" x14ac:dyDescent="0.35">
      <c r="A3" s="61">
        <v>3</v>
      </c>
      <c r="B3" s="1" t="s">
        <v>12</v>
      </c>
      <c r="C3" s="1" t="s">
        <v>6</v>
      </c>
      <c r="D3" s="1">
        <v>4</v>
      </c>
      <c r="E3" s="1">
        <v>3</v>
      </c>
      <c r="F3" s="1">
        <v>1</v>
      </c>
      <c r="G3" s="1">
        <v>3</v>
      </c>
      <c r="H3" s="1">
        <v>3</v>
      </c>
      <c r="I3" s="62" t="s">
        <v>35</v>
      </c>
      <c r="J3" s="28" t="s">
        <v>36</v>
      </c>
    </row>
    <row r="4" spans="1:10" ht="20" x14ac:dyDescent="0.35">
      <c r="A4" s="61">
        <v>4</v>
      </c>
      <c r="B4" s="1" t="s">
        <v>12</v>
      </c>
      <c r="C4" s="1" t="s">
        <v>6</v>
      </c>
      <c r="D4" s="1">
        <v>2</v>
      </c>
      <c r="E4" s="1">
        <v>2</v>
      </c>
      <c r="F4" s="1">
        <v>1</v>
      </c>
      <c r="G4" s="1">
        <v>2</v>
      </c>
      <c r="H4" s="1">
        <v>1</v>
      </c>
      <c r="I4" s="62" t="s">
        <v>37</v>
      </c>
      <c r="J4" s="28" t="s">
        <v>126</v>
      </c>
    </row>
    <row r="5" spans="1:10" ht="30" x14ac:dyDescent="0.35">
      <c r="A5" s="61">
        <v>9</v>
      </c>
      <c r="B5" s="1" t="s">
        <v>12</v>
      </c>
      <c r="C5" s="1" t="s">
        <v>6</v>
      </c>
      <c r="D5" s="1">
        <v>3</v>
      </c>
      <c r="E5" s="1">
        <v>2</v>
      </c>
      <c r="F5" s="1">
        <v>1</v>
      </c>
      <c r="G5" s="1">
        <v>2</v>
      </c>
      <c r="H5" s="1">
        <v>1</v>
      </c>
      <c r="I5" s="62" t="s">
        <v>43</v>
      </c>
      <c r="J5" s="28" t="s">
        <v>128</v>
      </c>
    </row>
    <row r="6" spans="1:10" x14ac:dyDescent="0.35">
      <c r="A6" s="61">
        <v>10</v>
      </c>
      <c r="B6" s="1" t="s">
        <v>12</v>
      </c>
      <c r="C6" s="1" t="s">
        <v>6</v>
      </c>
      <c r="D6" s="1">
        <v>2</v>
      </c>
      <c r="E6" s="1">
        <v>2</v>
      </c>
      <c r="F6" s="1">
        <v>1</v>
      </c>
      <c r="G6" s="1">
        <v>3</v>
      </c>
      <c r="H6" s="1">
        <v>1</v>
      </c>
      <c r="I6" s="62" t="s">
        <v>44</v>
      </c>
      <c r="J6" s="28" t="s">
        <v>94</v>
      </c>
    </row>
    <row r="7" spans="1:10" x14ac:dyDescent="0.35">
      <c r="A7" s="61">
        <v>15</v>
      </c>
      <c r="B7" s="1" t="s">
        <v>12</v>
      </c>
      <c r="C7" s="1" t="s">
        <v>6</v>
      </c>
      <c r="D7" s="1">
        <v>3</v>
      </c>
      <c r="E7" s="1">
        <v>2</v>
      </c>
      <c r="F7" s="1">
        <v>1</v>
      </c>
      <c r="G7" s="1">
        <v>3</v>
      </c>
      <c r="H7" s="1">
        <v>1</v>
      </c>
      <c r="I7" s="62" t="s">
        <v>49</v>
      </c>
      <c r="J7" s="28" t="s">
        <v>34</v>
      </c>
    </row>
    <row r="8" spans="1:10" x14ac:dyDescent="0.35">
      <c r="A8" s="61">
        <v>18</v>
      </c>
      <c r="B8" s="1" t="s">
        <v>12</v>
      </c>
      <c r="C8" s="1" t="s">
        <v>6</v>
      </c>
      <c r="D8" s="1">
        <v>2</v>
      </c>
      <c r="E8" s="1">
        <v>3</v>
      </c>
      <c r="F8" s="1">
        <v>1</v>
      </c>
      <c r="G8" s="1">
        <v>2</v>
      </c>
      <c r="H8" s="1">
        <v>3</v>
      </c>
      <c r="I8" s="62"/>
      <c r="J8" s="28"/>
    </row>
    <row r="9" spans="1:10" x14ac:dyDescent="0.35">
      <c r="A9" s="57">
        <v>2</v>
      </c>
      <c r="B9" s="58" t="s">
        <v>9</v>
      </c>
      <c r="C9" s="58" t="s">
        <v>12</v>
      </c>
      <c r="D9" s="58">
        <v>2</v>
      </c>
      <c r="E9" s="58">
        <v>1</v>
      </c>
      <c r="F9" s="58">
        <v>2</v>
      </c>
      <c r="G9" s="58">
        <v>4</v>
      </c>
      <c r="H9" s="58">
        <v>2</v>
      </c>
      <c r="I9" s="59" t="s">
        <v>33</v>
      </c>
      <c r="J9" s="60" t="s">
        <v>34</v>
      </c>
    </row>
    <row r="10" spans="1:10" x14ac:dyDescent="0.35">
      <c r="A10" s="57">
        <v>6</v>
      </c>
      <c r="B10" s="58" t="s">
        <v>9</v>
      </c>
      <c r="C10" s="58" t="s">
        <v>12</v>
      </c>
      <c r="D10" s="58">
        <v>4</v>
      </c>
      <c r="E10" s="58">
        <v>2</v>
      </c>
      <c r="F10" s="58">
        <v>1</v>
      </c>
      <c r="G10" s="58">
        <v>3</v>
      </c>
      <c r="H10" s="58">
        <v>1</v>
      </c>
      <c r="I10" s="59" t="s">
        <v>127</v>
      </c>
      <c r="J10" s="60" t="s">
        <v>130</v>
      </c>
    </row>
    <row r="11" spans="1:10" x14ac:dyDescent="0.35">
      <c r="A11" s="57">
        <v>8</v>
      </c>
      <c r="B11" s="58" t="s">
        <v>9</v>
      </c>
      <c r="C11" s="58" t="s">
        <v>12</v>
      </c>
      <c r="D11" s="58">
        <v>2</v>
      </c>
      <c r="E11" s="58">
        <v>1</v>
      </c>
      <c r="F11" s="58">
        <v>1</v>
      </c>
      <c r="G11" s="58">
        <v>4</v>
      </c>
      <c r="H11" s="58">
        <v>1</v>
      </c>
      <c r="I11" s="59" t="s">
        <v>42</v>
      </c>
      <c r="J11" s="60" t="s">
        <v>34</v>
      </c>
    </row>
    <row r="12" spans="1:10" x14ac:dyDescent="0.35">
      <c r="A12" s="57">
        <v>12</v>
      </c>
      <c r="B12" s="58" t="s">
        <v>9</v>
      </c>
      <c r="C12" s="58" t="s">
        <v>12</v>
      </c>
      <c r="D12" s="58">
        <v>3</v>
      </c>
      <c r="E12" s="58">
        <v>2</v>
      </c>
      <c r="F12" s="58">
        <v>2</v>
      </c>
      <c r="G12" s="58">
        <v>3</v>
      </c>
      <c r="H12" s="58">
        <v>1</v>
      </c>
      <c r="I12" s="59" t="s">
        <v>46</v>
      </c>
      <c r="J12" s="60" t="s">
        <v>129</v>
      </c>
    </row>
    <row r="13" spans="1:10" x14ac:dyDescent="0.35">
      <c r="A13" s="57">
        <v>14</v>
      </c>
      <c r="B13" s="58" t="s">
        <v>9</v>
      </c>
      <c r="C13" s="58" t="s">
        <v>12</v>
      </c>
      <c r="D13" s="58">
        <v>2</v>
      </c>
      <c r="E13" s="58">
        <v>2</v>
      </c>
      <c r="F13" s="58">
        <v>1</v>
      </c>
      <c r="G13" s="58">
        <v>3</v>
      </c>
      <c r="H13" s="58">
        <v>1</v>
      </c>
      <c r="I13" s="59" t="s">
        <v>48</v>
      </c>
      <c r="J13" s="60" t="s">
        <v>34</v>
      </c>
    </row>
    <row r="14" spans="1:10" x14ac:dyDescent="0.35">
      <c r="A14" s="57">
        <v>16</v>
      </c>
      <c r="B14" s="58" t="s">
        <v>9</v>
      </c>
      <c r="C14" s="58" t="s">
        <v>12</v>
      </c>
      <c r="D14" s="58">
        <v>4</v>
      </c>
      <c r="E14" s="58">
        <v>2</v>
      </c>
      <c r="F14" s="58">
        <v>1</v>
      </c>
      <c r="G14" s="58">
        <v>4</v>
      </c>
      <c r="H14" s="58">
        <v>1</v>
      </c>
      <c r="I14" s="59" t="s">
        <v>175</v>
      </c>
      <c r="J14" s="60" t="s">
        <v>176</v>
      </c>
    </row>
    <row r="15" spans="1:10" x14ac:dyDescent="0.35">
      <c r="A15" s="53">
        <v>1</v>
      </c>
      <c r="B15" s="54" t="s">
        <v>6</v>
      </c>
      <c r="C15" s="54" t="s">
        <v>9</v>
      </c>
      <c r="D15" s="54">
        <v>1</v>
      </c>
      <c r="E15" s="54">
        <v>1</v>
      </c>
      <c r="F15" s="54">
        <v>1</v>
      </c>
      <c r="G15" s="54">
        <v>2</v>
      </c>
      <c r="H15" s="54">
        <v>1</v>
      </c>
      <c r="I15" s="55" t="s">
        <v>31</v>
      </c>
      <c r="J15" s="56" t="s">
        <v>32</v>
      </c>
    </row>
    <row r="16" spans="1:10" ht="30" x14ac:dyDescent="0.35">
      <c r="A16" s="53">
        <v>5</v>
      </c>
      <c r="B16" s="54" t="s">
        <v>6</v>
      </c>
      <c r="C16" s="54" t="s">
        <v>9</v>
      </c>
      <c r="D16" s="54">
        <v>2</v>
      </c>
      <c r="E16" s="54">
        <v>1</v>
      </c>
      <c r="F16" s="54">
        <v>1</v>
      </c>
      <c r="G16" s="54">
        <v>4</v>
      </c>
      <c r="H16" s="54">
        <v>4</v>
      </c>
      <c r="I16" s="55" t="s">
        <v>38</v>
      </c>
      <c r="J16" s="56" t="s">
        <v>39</v>
      </c>
    </row>
    <row r="17" spans="1:10" ht="30" x14ac:dyDescent="0.35">
      <c r="A17" s="53">
        <v>7</v>
      </c>
      <c r="B17" s="54" t="s">
        <v>6</v>
      </c>
      <c r="C17" s="54" t="s">
        <v>9</v>
      </c>
      <c r="D17" s="54">
        <v>3</v>
      </c>
      <c r="E17" s="54">
        <v>3</v>
      </c>
      <c r="F17" s="54">
        <v>1</v>
      </c>
      <c r="G17" s="54">
        <v>3</v>
      </c>
      <c r="H17" s="54">
        <v>2</v>
      </c>
      <c r="I17" s="55" t="s">
        <v>40</v>
      </c>
      <c r="J17" s="56" t="s">
        <v>41</v>
      </c>
    </row>
    <row r="18" spans="1:10" ht="25" x14ac:dyDescent="0.35">
      <c r="A18" s="53">
        <v>11</v>
      </c>
      <c r="B18" s="54" t="s">
        <v>6</v>
      </c>
      <c r="C18" s="54" t="s">
        <v>9</v>
      </c>
      <c r="D18" s="54">
        <v>3</v>
      </c>
      <c r="E18" s="54">
        <v>2</v>
      </c>
      <c r="F18" s="54">
        <v>1</v>
      </c>
      <c r="G18" s="54">
        <v>3</v>
      </c>
      <c r="H18" s="54">
        <v>1</v>
      </c>
      <c r="I18" s="55" t="s">
        <v>45</v>
      </c>
      <c r="J18" s="56" t="s">
        <v>133</v>
      </c>
    </row>
    <row r="19" spans="1:10" ht="20" x14ac:dyDescent="0.35">
      <c r="A19" s="53">
        <v>13</v>
      </c>
      <c r="B19" s="54" t="s">
        <v>6</v>
      </c>
      <c r="C19" s="54" t="s">
        <v>9</v>
      </c>
      <c r="D19" s="54">
        <v>2</v>
      </c>
      <c r="E19" s="54">
        <v>2</v>
      </c>
      <c r="F19" s="54">
        <v>3</v>
      </c>
      <c r="G19" s="54">
        <v>3</v>
      </c>
      <c r="H19" s="54">
        <v>1</v>
      </c>
      <c r="I19" s="55" t="s">
        <v>47</v>
      </c>
      <c r="J19" s="56"/>
    </row>
    <row r="20" spans="1:10" ht="20" x14ac:dyDescent="0.35">
      <c r="A20" s="65">
        <v>17</v>
      </c>
      <c r="B20" s="66" t="s">
        <v>6</v>
      </c>
      <c r="C20" s="66" t="s">
        <v>9</v>
      </c>
      <c r="D20" s="66">
        <v>4</v>
      </c>
      <c r="E20" s="66">
        <v>4</v>
      </c>
      <c r="F20" s="66">
        <v>1</v>
      </c>
      <c r="G20" s="66">
        <v>4</v>
      </c>
      <c r="H20" s="66">
        <v>4</v>
      </c>
      <c r="I20" s="67" t="s">
        <v>161</v>
      </c>
      <c r="J20" s="68" t="s">
        <v>17</v>
      </c>
    </row>
    <row r="21" spans="1:10" x14ac:dyDescent="0.35">
      <c r="A21" s="1"/>
      <c r="B21" s="1"/>
      <c r="C21" s="1"/>
      <c r="D21" s="1"/>
      <c r="E21" s="1"/>
      <c r="F21" s="1"/>
      <c r="G21" s="1"/>
      <c r="H21" s="1"/>
      <c r="I21" s="2"/>
      <c r="J21" s="2"/>
    </row>
    <row r="22" spans="1:10" x14ac:dyDescent="0.35">
      <c r="A22" s="82" t="s">
        <v>144</v>
      </c>
      <c r="B22" s="83"/>
      <c r="C22" s="83"/>
      <c r="D22" s="48" t="s">
        <v>145</v>
      </c>
      <c r="E22" s="49"/>
      <c r="F22" s="49"/>
      <c r="G22" s="49"/>
      <c r="H22" s="49"/>
      <c r="I22" s="43"/>
      <c r="J22" s="51"/>
    </row>
    <row r="23" spans="1:10" x14ac:dyDescent="0.35">
      <c r="A23" s="74" t="s">
        <v>107</v>
      </c>
      <c r="B23" s="75"/>
      <c r="C23" s="75"/>
      <c r="D23" s="46">
        <f>AVERAGE(D3:D20)</f>
        <v>2.6666666666666665</v>
      </c>
      <c r="E23" s="46">
        <f t="shared" ref="E23:H23" si="0">AVERAGE(E3:E20)</f>
        <v>2.0555555555555554</v>
      </c>
      <c r="F23" s="46">
        <f t="shared" si="0"/>
        <v>1.2222222222222223</v>
      </c>
      <c r="G23" s="46">
        <f t="shared" si="0"/>
        <v>3.0555555555555554</v>
      </c>
      <c r="H23" s="46">
        <f t="shared" si="0"/>
        <v>1.6666666666666667</v>
      </c>
      <c r="I23" s="45" t="s">
        <v>111</v>
      </c>
      <c r="J23" s="50" t="s">
        <v>177</v>
      </c>
    </row>
    <row r="24" spans="1:10" x14ac:dyDescent="0.35">
      <c r="A24" s="76" t="s">
        <v>108</v>
      </c>
      <c r="B24" s="77"/>
      <c r="C24" s="77"/>
      <c r="D24" s="14">
        <f>MEDIAN(D3:D20)</f>
        <v>2.5</v>
      </c>
      <c r="E24" s="14">
        <f t="shared" ref="E24:H24" si="1">MEDIAN(E3:E20)</f>
        <v>2</v>
      </c>
      <c r="F24" s="14">
        <f t="shared" si="1"/>
        <v>1</v>
      </c>
      <c r="G24" s="14">
        <f t="shared" si="1"/>
        <v>3</v>
      </c>
      <c r="H24" s="14">
        <f t="shared" si="1"/>
        <v>1</v>
      </c>
      <c r="I24" s="14"/>
      <c r="J24" s="4"/>
    </row>
    <row r="25" spans="1:10" ht="29" x14ac:dyDescent="0.35">
      <c r="A25" s="78" t="s">
        <v>109</v>
      </c>
      <c r="B25" s="79"/>
      <c r="C25" s="79"/>
      <c r="D25" s="52">
        <f>_xlfn.STDEV.S(D3:D20)</f>
        <v>0.90748521297303009</v>
      </c>
      <c r="E25" s="52">
        <f t="shared" ref="E25:H25" si="2">_xlfn.STDEV.S(E3:E20)</f>
        <v>0.80236578296510286</v>
      </c>
      <c r="F25" s="52">
        <f t="shared" si="2"/>
        <v>0.54831888055331623</v>
      </c>
      <c r="G25" s="52">
        <f t="shared" si="2"/>
        <v>0.72535769855270305</v>
      </c>
      <c r="H25" s="52">
        <f t="shared" si="2"/>
        <v>1.0846522890932808</v>
      </c>
      <c r="I25" s="15" t="s">
        <v>112</v>
      </c>
      <c r="J25" s="5" t="s">
        <v>153</v>
      </c>
    </row>
    <row r="26" spans="1:10" x14ac:dyDescent="0.35">
      <c r="A26" s="7"/>
      <c r="B26" s="7"/>
      <c r="C26" s="7"/>
      <c r="D26" s="7"/>
      <c r="E26" s="7"/>
      <c r="F26" s="7"/>
      <c r="G26" s="7"/>
      <c r="H26" s="7"/>
      <c r="I26" s="7"/>
      <c r="J26" s="8"/>
    </row>
    <row r="27" spans="1:10" x14ac:dyDescent="0.35">
      <c r="A27" s="84" t="s">
        <v>134</v>
      </c>
      <c r="B27" s="85"/>
      <c r="C27" s="85"/>
      <c r="D27" s="21" t="s">
        <v>143</v>
      </c>
      <c r="E27" s="9"/>
      <c r="F27" s="9"/>
      <c r="G27" s="9"/>
      <c r="H27" s="9"/>
      <c r="I27" s="9"/>
      <c r="J27" s="10"/>
    </row>
    <row r="28" spans="1:10" x14ac:dyDescent="0.35">
      <c r="A28" s="76" t="s">
        <v>107</v>
      </c>
      <c r="B28" s="77"/>
      <c r="C28" s="77"/>
      <c r="D28" s="12">
        <f>AVERAGE(D3:D8)</f>
        <v>2.6666666666666665</v>
      </c>
      <c r="E28" s="12">
        <f t="shared" ref="E28:H28" si="3">AVERAGE(E3:E8)</f>
        <v>2.3333333333333335</v>
      </c>
      <c r="F28" s="12">
        <f t="shared" si="3"/>
        <v>1</v>
      </c>
      <c r="G28" s="12">
        <f t="shared" si="3"/>
        <v>2.5</v>
      </c>
      <c r="H28" s="12">
        <f t="shared" si="3"/>
        <v>1.6666666666666667</v>
      </c>
      <c r="I28" s="11" t="s">
        <v>111</v>
      </c>
      <c r="J28" s="13"/>
    </row>
    <row r="29" spans="1:10" x14ac:dyDescent="0.35">
      <c r="A29" s="76" t="s">
        <v>108</v>
      </c>
      <c r="B29" s="77"/>
      <c r="C29" s="77"/>
      <c r="D29" s="14">
        <f>MEDIAN(D3:D8)</f>
        <v>2.5</v>
      </c>
      <c r="E29" s="14">
        <f t="shared" ref="E29:H29" si="4">MEDIAN(E3:E8)</f>
        <v>2</v>
      </c>
      <c r="F29" s="14">
        <f t="shared" si="4"/>
        <v>1</v>
      </c>
      <c r="G29" s="14">
        <f t="shared" si="4"/>
        <v>2.5</v>
      </c>
      <c r="H29" s="14">
        <f t="shared" si="4"/>
        <v>1</v>
      </c>
      <c r="I29" s="14"/>
      <c r="J29" s="13"/>
    </row>
    <row r="30" spans="1:10" x14ac:dyDescent="0.35">
      <c r="A30" s="78" t="s">
        <v>109</v>
      </c>
      <c r="B30" s="79"/>
      <c r="C30" s="79"/>
      <c r="D30" s="52">
        <f>_xlfn.STDEV.S(D3:D8)</f>
        <v>0.81649658092772637</v>
      </c>
      <c r="E30" s="52">
        <f t="shared" ref="E30:H30" si="5">_xlfn.STDEV.S(E3:E8)</f>
        <v>0.51639777949432275</v>
      </c>
      <c r="F30" s="52">
        <f t="shared" si="5"/>
        <v>0</v>
      </c>
      <c r="G30" s="52">
        <f t="shared" si="5"/>
        <v>0.54772255750516607</v>
      </c>
      <c r="H30" s="52">
        <f t="shared" si="5"/>
        <v>1.0327955589886444</v>
      </c>
      <c r="I30" s="15" t="s">
        <v>112</v>
      </c>
      <c r="J30" s="16"/>
    </row>
    <row r="31" spans="1:10" x14ac:dyDescent="0.35">
      <c r="A31" s="7"/>
      <c r="B31" s="7"/>
      <c r="C31" s="6"/>
      <c r="D31" s="7"/>
      <c r="E31" s="7"/>
      <c r="F31" s="7"/>
      <c r="G31" s="7"/>
      <c r="H31" s="7"/>
      <c r="I31" s="7"/>
      <c r="J31" s="8"/>
    </row>
    <row r="32" spans="1:10" x14ac:dyDescent="0.35">
      <c r="A32" s="86" t="s">
        <v>135</v>
      </c>
      <c r="B32" s="87"/>
      <c r="C32" s="87"/>
      <c r="D32" s="22" t="s">
        <v>143</v>
      </c>
      <c r="E32" s="17"/>
      <c r="F32" s="17"/>
      <c r="G32" s="17"/>
      <c r="H32" s="17"/>
      <c r="I32" s="17"/>
      <c r="J32" s="18"/>
    </row>
    <row r="33" spans="1:10" x14ac:dyDescent="0.35">
      <c r="A33" s="76" t="s">
        <v>107</v>
      </c>
      <c r="B33" s="77"/>
      <c r="C33" s="77"/>
      <c r="D33" s="12">
        <f>AVERAGE(D15:D20)</f>
        <v>2.5</v>
      </c>
      <c r="E33" s="12">
        <f t="shared" ref="E33:H33" si="6">AVERAGE(E15:E20)</f>
        <v>2.1666666666666665</v>
      </c>
      <c r="F33" s="12">
        <f t="shared" si="6"/>
        <v>1.3333333333333333</v>
      </c>
      <c r="G33" s="12">
        <f t="shared" si="6"/>
        <v>3.1666666666666665</v>
      </c>
      <c r="H33" s="12">
        <f t="shared" si="6"/>
        <v>2.1666666666666665</v>
      </c>
      <c r="I33" s="11" t="s">
        <v>111</v>
      </c>
      <c r="J33" s="13" t="s">
        <v>139</v>
      </c>
    </row>
    <row r="34" spans="1:10" x14ac:dyDescent="0.35">
      <c r="A34" s="76" t="s">
        <v>108</v>
      </c>
      <c r="B34" s="77"/>
      <c r="C34" s="77"/>
      <c r="D34" s="14">
        <f>MEDIAN(D15:D20)</f>
        <v>2.5</v>
      </c>
      <c r="E34" s="14">
        <f>MEDIAN(E15:E20)</f>
        <v>2</v>
      </c>
      <c r="F34" s="14">
        <f>MEDIAN(F15:F20)</f>
        <v>1</v>
      </c>
      <c r="G34" s="14">
        <f t="shared" ref="G34:H34" si="7">MEDIAN(G15:G20)</f>
        <v>3</v>
      </c>
      <c r="H34" s="14">
        <f t="shared" si="7"/>
        <v>1.5</v>
      </c>
      <c r="I34" s="14"/>
      <c r="J34" s="13"/>
    </row>
    <row r="35" spans="1:10" x14ac:dyDescent="0.35">
      <c r="A35" s="78" t="s">
        <v>109</v>
      </c>
      <c r="B35" s="79"/>
      <c r="C35" s="79"/>
      <c r="D35" s="52">
        <f>_xlfn.STDEV.S(D15:D20)</f>
        <v>1.0488088481701516</v>
      </c>
      <c r="E35" s="52">
        <f t="shared" ref="E35:H35" si="8">_xlfn.STDEV.S(E15:E20)</f>
        <v>1.169045194450012</v>
      </c>
      <c r="F35" s="52">
        <f t="shared" si="8"/>
        <v>0.81649658092772603</v>
      </c>
      <c r="G35" s="52">
        <f t="shared" si="8"/>
        <v>0.75277265270908122</v>
      </c>
      <c r="H35" s="52">
        <f t="shared" si="8"/>
        <v>1.4719601443879744</v>
      </c>
      <c r="I35" s="15" t="s">
        <v>112</v>
      </c>
      <c r="J35" s="16" t="s">
        <v>155</v>
      </c>
    </row>
    <row r="36" spans="1:10" x14ac:dyDescent="0.35">
      <c r="A36" s="7"/>
      <c r="B36" s="7"/>
      <c r="C36" s="6"/>
      <c r="D36" s="7"/>
      <c r="E36" s="7"/>
      <c r="F36" s="7"/>
      <c r="G36" s="7"/>
      <c r="H36" s="7"/>
      <c r="I36" s="7"/>
      <c r="J36" s="8"/>
    </row>
    <row r="37" spans="1:10" x14ac:dyDescent="0.35">
      <c r="A37" s="80" t="s">
        <v>136</v>
      </c>
      <c r="B37" s="81"/>
      <c r="C37" s="81"/>
      <c r="D37" s="23" t="s">
        <v>143</v>
      </c>
      <c r="E37" s="19"/>
      <c r="F37" s="19"/>
      <c r="G37" s="19"/>
      <c r="H37" s="19"/>
      <c r="I37" s="19"/>
      <c r="J37" s="20"/>
    </row>
    <row r="38" spans="1:10" x14ac:dyDescent="0.35">
      <c r="A38" s="76" t="s">
        <v>107</v>
      </c>
      <c r="B38" s="77"/>
      <c r="C38" s="77"/>
      <c r="D38" s="12">
        <f>AVERAGE(D9:D14)</f>
        <v>2.8333333333333335</v>
      </c>
      <c r="E38" s="12">
        <f t="shared" ref="E38:H38" si="9">AVERAGE(E9:E14)</f>
        <v>1.6666666666666667</v>
      </c>
      <c r="F38" s="12">
        <f t="shared" si="9"/>
        <v>1.3333333333333333</v>
      </c>
      <c r="G38" s="12">
        <f t="shared" si="9"/>
        <v>3.5</v>
      </c>
      <c r="H38" s="12">
        <f t="shared" si="9"/>
        <v>1.1666666666666667</v>
      </c>
      <c r="I38" s="11" t="s">
        <v>111</v>
      </c>
      <c r="J38" s="13" t="s">
        <v>178</v>
      </c>
    </row>
    <row r="39" spans="1:10" x14ac:dyDescent="0.35">
      <c r="A39" s="76" t="s">
        <v>108</v>
      </c>
      <c r="B39" s="77"/>
      <c r="C39" s="77"/>
      <c r="D39" s="14">
        <f>MEDIAN(D9:D14)</f>
        <v>2.5</v>
      </c>
      <c r="E39" s="14">
        <f t="shared" ref="E39:H39" si="10">MEDIAN(E9:E14)</f>
        <v>2</v>
      </c>
      <c r="F39" s="14">
        <f t="shared" si="10"/>
        <v>1</v>
      </c>
      <c r="G39" s="14">
        <f t="shared" si="10"/>
        <v>3.5</v>
      </c>
      <c r="H39" s="14">
        <f t="shared" si="10"/>
        <v>1</v>
      </c>
      <c r="I39" s="14"/>
      <c r="J39" s="13"/>
    </row>
    <row r="40" spans="1:10" x14ac:dyDescent="0.35">
      <c r="A40" s="78" t="s">
        <v>109</v>
      </c>
      <c r="B40" s="79"/>
      <c r="C40" s="79"/>
      <c r="D40" s="52">
        <f>_xlfn.STDEV.S(D9:D14)</f>
        <v>0.98319208025017524</v>
      </c>
      <c r="E40" s="52">
        <f t="shared" ref="E40:H40" si="11">_xlfn.STDEV.S(E9:E14)</f>
        <v>0.51639777949432208</v>
      </c>
      <c r="F40" s="52">
        <f t="shared" si="11"/>
        <v>0.51639777949432231</v>
      </c>
      <c r="G40" s="52">
        <f t="shared" si="11"/>
        <v>0.54772255750516607</v>
      </c>
      <c r="H40" s="52">
        <f t="shared" si="11"/>
        <v>0.40824829046386318</v>
      </c>
      <c r="I40" s="15" t="s">
        <v>112</v>
      </c>
      <c r="J40" s="16"/>
    </row>
    <row r="43" spans="1:10" x14ac:dyDescent="0.35">
      <c r="C43" s="7" t="s">
        <v>189</v>
      </c>
      <c r="D43" s="7" t="s">
        <v>190</v>
      </c>
      <c r="E43" s="7" t="s">
        <v>191</v>
      </c>
      <c r="F43" s="7" t="s">
        <v>192</v>
      </c>
      <c r="G43" s="7" t="s">
        <v>193</v>
      </c>
      <c r="H43" s="7" t="s">
        <v>194</v>
      </c>
      <c r="I43" s="7" t="s">
        <v>198</v>
      </c>
      <c r="J43" s="8" t="s">
        <v>199</v>
      </c>
    </row>
    <row r="44" spans="1:10" x14ac:dyDescent="0.35">
      <c r="C44" s="7" t="s">
        <v>195</v>
      </c>
      <c r="D44" s="12">
        <f>D28</f>
        <v>2.6666666666666665</v>
      </c>
      <c r="E44" s="12">
        <f>E28</f>
        <v>2.3333333333333335</v>
      </c>
      <c r="F44" s="12">
        <f t="shared" ref="F44:H44" si="12">F28</f>
        <v>1</v>
      </c>
      <c r="G44" s="12">
        <f t="shared" si="12"/>
        <v>2.5</v>
      </c>
      <c r="H44" s="12">
        <f t="shared" si="12"/>
        <v>1.6666666666666667</v>
      </c>
      <c r="I44" s="70">
        <f>AVERAGE(D44:H44)</f>
        <v>2.0333333333333332</v>
      </c>
      <c r="J44" s="8">
        <f>_xlfn.STDEV.S(D44:H44)</f>
        <v>0.69121471177759142</v>
      </c>
    </row>
    <row r="45" spans="1:10" x14ac:dyDescent="0.35">
      <c r="C45" s="7" t="s">
        <v>196</v>
      </c>
      <c r="D45" s="12">
        <f>D33</f>
        <v>2.5</v>
      </c>
      <c r="E45" s="12">
        <f t="shared" ref="E45:H45" si="13">E33</f>
        <v>2.1666666666666665</v>
      </c>
      <c r="F45" s="12">
        <f t="shared" si="13"/>
        <v>1.3333333333333333</v>
      </c>
      <c r="G45" s="12">
        <f t="shared" si="13"/>
        <v>3.1666666666666665</v>
      </c>
      <c r="H45" s="12">
        <f t="shared" si="13"/>
        <v>2.1666666666666665</v>
      </c>
      <c r="I45" s="70">
        <f t="shared" ref="I45:I46" si="14">AVERAGE(D45:H45)</f>
        <v>2.2666666666666666</v>
      </c>
      <c r="J45" s="8">
        <f t="shared" ref="J45:J46" si="15">_xlfn.STDEV.S(D45:H45)</f>
        <v>0.66248689714505982</v>
      </c>
    </row>
    <row r="46" spans="1:10" x14ac:dyDescent="0.35">
      <c r="C46" s="7" t="s">
        <v>197</v>
      </c>
      <c r="D46" s="12">
        <f>D34</f>
        <v>2.5</v>
      </c>
      <c r="E46" s="12">
        <f t="shared" ref="E46:H46" si="16">E34</f>
        <v>2</v>
      </c>
      <c r="F46" s="12">
        <f t="shared" si="16"/>
        <v>1</v>
      </c>
      <c r="G46" s="12">
        <f t="shared" si="16"/>
        <v>3</v>
      </c>
      <c r="H46" s="12">
        <f t="shared" si="16"/>
        <v>1.5</v>
      </c>
      <c r="I46" s="70">
        <f t="shared" si="14"/>
        <v>2</v>
      </c>
      <c r="J46" s="8">
        <f t="shared" si="15"/>
        <v>0.79056941504209488</v>
      </c>
    </row>
  </sheetData>
  <sortState xmlns:xlrd2="http://schemas.microsoft.com/office/spreadsheetml/2017/richdata2" ref="A3:J20">
    <sortCondition ref="B3:B20"/>
  </sortState>
  <mergeCells count="17">
    <mergeCell ref="A35:C35"/>
    <mergeCell ref="A37:C37"/>
    <mergeCell ref="A38:C38"/>
    <mergeCell ref="A39:C39"/>
    <mergeCell ref="A40:C40"/>
    <mergeCell ref="A34:C34"/>
    <mergeCell ref="A1:J1"/>
    <mergeCell ref="A23:C23"/>
    <mergeCell ref="A24:C24"/>
    <mergeCell ref="A25:C25"/>
    <mergeCell ref="A22:C22"/>
    <mergeCell ref="A27:C27"/>
    <mergeCell ref="A28:C28"/>
    <mergeCell ref="A29:C29"/>
    <mergeCell ref="A30:C30"/>
    <mergeCell ref="A32:C32"/>
    <mergeCell ref="A33:C3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90B7-AAA1-474D-9044-08C743890C8D}">
  <dimension ref="A1:K66"/>
  <sheetViews>
    <sheetView topLeftCell="G1" zoomScale="69" zoomScaleNormal="40" workbookViewId="0">
      <pane ySplit="2" topLeftCell="A3" activePane="bottomLeft" state="frozen"/>
      <selection pane="bottomLeft" activeCell="Q19" sqref="Q19"/>
    </sheetView>
  </sheetViews>
  <sheetFormatPr defaultRowHeight="14.5" x14ac:dyDescent="0.35"/>
  <cols>
    <col min="1" max="1" width="11.453125" style="7" customWidth="1"/>
    <col min="2" max="2" width="6.26953125" style="7" customWidth="1"/>
    <col min="3" max="3" width="9.90625" style="7" customWidth="1"/>
    <col min="4" max="8" width="16.81640625" style="7" customWidth="1"/>
    <col min="9" max="9" width="57.7265625" style="7" customWidth="1"/>
    <col min="10" max="10" width="47.81640625" style="8" customWidth="1"/>
    <col min="11" max="16384" width="8.7265625" style="7"/>
  </cols>
  <sheetData>
    <row r="1" spans="1:10" s="25" customFormat="1" ht="18" x14ac:dyDescent="0.35">
      <c r="A1" s="71" t="s">
        <v>50</v>
      </c>
      <c r="B1" s="72"/>
      <c r="C1" s="72"/>
      <c r="D1" s="72"/>
      <c r="E1" s="72"/>
      <c r="F1" s="72"/>
      <c r="G1" s="72"/>
      <c r="H1" s="72"/>
      <c r="I1" s="72"/>
      <c r="J1" s="73"/>
    </row>
    <row r="2" spans="1:10" s="26" customFormat="1" ht="26" x14ac:dyDescent="0.35">
      <c r="A2" s="63" t="s">
        <v>1</v>
      </c>
      <c r="B2" s="63" t="s">
        <v>2</v>
      </c>
      <c r="C2" s="63" t="s">
        <v>146</v>
      </c>
      <c r="D2" s="63" t="s">
        <v>188</v>
      </c>
      <c r="E2" s="63" t="s">
        <v>3</v>
      </c>
      <c r="F2" s="63" t="s">
        <v>150</v>
      </c>
      <c r="G2" s="63" t="s">
        <v>151</v>
      </c>
      <c r="H2" s="63" t="s">
        <v>152</v>
      </c>
      <c r="I2" s="63" t="s">
        <v>5</v>
      </c>
      <c r="J2" s="63" t="s">
        <v>142</v>
      </c>
    </row>
    <row r="3" spans="1:10" x14ac:dyDescent="0.35">
      <c r="A3" s="61">
        <v>3</v>
      </c>
      <c r="B3" s="1" t="s">
        <v>12</v>
      </c>
      <c r="C3" s="1" t="s">
        <v>9</v>
      </c>
      <c r="D3" s="1">
        <v>2</v>
      </c>
      <c r="E3" s="1">
        <v>2</v>
      </c>
      <c r="F3" s="1">
        <v>3</v>
      </c>
      <c r="G3" s="1">
        <v>2</v>
      </c>
      <c r="H3" s="1">
        <v>1</v>
      </c>
      <c r="I3" s="62"/>
      <c r="J3" s="28"/>
    </row>
    <row r="4" spans="1:10" ht="20" x14ac:dyDescent="0.35">
      <c r="A4" s="61">
        <v>4</v>
      </c>
      <c r="B4" s="1" t="s">
        <v>12</v>
      </c>
      <c r="C4" s="1" t="s">
        <v>9</v>
      </c>
      <c r="D4" s="1">
        <v>1</v>
      </c>
      <c r="E4" s="1">
        <v>1</v>
      </c>
      <c r="F4" s="1">
        <v>3</v>
      </c>
      <c r="G4" s="1">
        <v>3</v>
      </c>
      <c r="H4" s="1">
        <v>1</v>
      </c>
      <c r="I4" s="62" t="s">
        <v>54</v>
      </c>
      <c r="J4" s="28" t="s">
        <v>55</v>
      </c>
    </row>
    <row r="5" spans="1:10" ht="20" x14ac:dyDescent="0.35">
      <c r="A5" s="61">
        <v>9</v>
      </c>
      <c r="B5" s="1" t="s">
        <v>12</v>
      </c>
      <c r="C5" s="1" t="s">
        <v>9</v>
      </c>
      <c r="D5" s="1">
        <v>2</v>
      </c>
      <c r="E5" s="1">
        <v>2</v>
      </c>
      <c r="F5" s="1">
        <v>1</v>
      </c>
      <c r="G5" s="1">
        <v>2</v>
      </c>
      <c r="H5" s="1">
        <v>1</v>
      </c>
      <c r="I5" s="62" t="s">
        <v>60</v>
      </c>
      <c r="J5" s="28" t="s">
        <v>115</v>
      </c>
    </row>
    <row r="6" spans="1:10" x14ac:dyDescent="0.35">
      <c r="A6" s="61">
        <v>10</v>
      </c>
      <c r="B6" s="1" t="s">
        <v>12</v>
      </c>
      <c r="C6" s="1" t="s">
        <v>9</v>
      </c>
      <c r="D6" s="1">
        <v>1</v>
      </c>
      <c r="E6" s="1">
        <v>1</v>
      </c>
      <c r="F6" s="1">
        <v>3</v>
      </c>
      <c r="G6" s="1">
        <v>3</v>
      </c>
      <c r="H6" s="1">
        <v>1</v>
      </c>
      <c r="I6" s="62" t="s">
        <v>61</v>
      </c>
      <c r="J6" s="28" t="s">
        <v>121</v>
      </c>
    </row>
    <row r="7" spans="1:10" x14ac:dyDescent="0.35">
      <c r="A7" s="61">
        <v>15</v>
      </c>
      <c r="B7" s="1" t="s">
        <v>12</v>
      </c>
      <c r="C7" s="1" t="s">
        <v>9</v>
      </c>
      <c r="D7" s="1">
        <v>3</v>
      </c>
      <c r="E7" s="1">
        <v>3</v>
      </c>
      <c r="F7" s="1">
        <v>1</v>
      </c>
      <c r="G7" s="1">
        <v>3</v>
      </c>
      <c r="H7" s="1">
        <v>1</v>
      </c>
      <c r="I7" s="62" t="s">
        <v>66</v>
      </c>
      <c r="J7" s="28" t="s">
        <v>115</v>
      </c>
    </row>
    <row r="8" spans="1:10" x14ac:dyDescent="0.35">
      <c r="A8" s="61">
        <v>18</v>
      </c>
      <c r="B8" s="1" t="s">
        <v>12</v>
      </c>
      <c r="C8" s="1" t="s">
        <v>9</v>
      </c>
      <c r="D8" s="1">
        <v>4</v>
      </c>
      <c r="E8" s="1">
        <v>1</v>
      </c>
      <c r="F8" s="1">
        <v>1</v>
      </c>
      <c r="G8" s="1">
        <v>3</v>
      </c>
      <c r="H8" s="1">
        <v>1</v>
      </c>
      <c r="I8" s="69"/>
      <c r="J8" s="28"/>
    </row>
    <row r="9" spans="1:10" x14ac:dyDescent="0.35">
      <c r="A9" s="57">
        <v>2</v>
      </c>
      <c r="B9" s="58" t="s">
        <v>9</v>
      </c>
      <c r="C9" s="58" t="s">
        <v>6</v>
      </c>
      <c r="D9" s="58">
        <v>2</v>
      </c>
      <c r="E9" s="58">
        <v>2</v>
      </c>
      <c r="F9" s="58">
        <v>1</v>
      </c>
      <c r="G9" s="58">
        <v>4</v>
      </c>
      <c r="H9" s="58">
        <v>2</v>
      </c>
      <c r="I9" s="59" t="s">
        <v>53</v>
      </c>
      <c r="J9" s="60" t="s">
        <v>14</v>
      </c>
    </row>
    <row r="10" spans="1:10" x14ac:dyDescent="0.35">
      <c r="A10" s="57">
        <v>6</v>
      </c>
      <c r="B10" s="58" t="s">
        <v>9</v>
      </c>
      <c r="C10" s="58" t="s">
        <v>6</v>
      </c>
      <c r="D10" s="58">
        <v>3</v>
      </c>
      <c r="E10" s="58">
        <v>2</v>
      </c>
      <c r="F10" s="58">
        <v>2</v>
      </c>
      <c r="G10" s="58">
        <v>3</v>
      </c>
      <c r="H10" s="58">
        <v>1</v>
      </c>
      <c r="I10" s="59" t="s">
        <v>57</v>
      </c>
      <c r="J10" s="60" t="s">
        <v>122</v>
      </c>
    </row>
    <row r="11" spans="1:10" ht="20" x14ac:dyDescent="0.35">
      <c r="A11" s="57">
        <v>8</v>
      </c>
      <c r="B11" s="58" t="s">
        <v>9</v>
      </c>
      <c r="C11" s="58" t="s">
        <v>6</v>
      </c>
      <c r="D11" s="58">
        <v>2</v>
      </c>
      <c r="E11" s="58">
        <v>2</v>
      </c>
      <c r="F11" s="58">
        <v>1</v>
      </c>
      <c r="G11" s="58">
        <v>3</v>
      </c>
      <c r="H11" s="58">
        <v>1</v>
      </c>
      <c r="I11" s="59" t="s">
        <v>59</v>
      </c>
      <c r="J11" s="60" t="s">
        <v>34</v>
      </c>
    </row>
    <row r="12" spans="1:10" x14ac:dyDescent="0.35">
      <c r="A12" s="57">
        <v>12</v>
      </c>
      <c r="B12" s="58" t="s">
        <v>9</v>
      </c>
      <c r="C12" s="58" t="s">
        <v>6</v>
      </c>
      <c r="D12" s="58">
        <v>3</v>
      </c>
      <c r="E12" s="58">
        <v>2</v>
      </c>
      <c r="F12" s="58">
        <v>1</v>
      </c>
      <c r="G12" s="58">
        <v>2</v>
      </c>
      <c r="H12" s="58">
        <v>1</v>
      </c>
      <c r="I12" s="59" t="s">
        <v>63</v>
      </c>
      <c r="J12" s="60" t="s">
        <v>125</v>
      </c>
    </row>
    <row r="13" spans="1:10" x14ac:dyDescent="0.35">
      <c r="A13" s="57">
        <v>14</v>
      </c>
      <c r="B13" s="58" t="s">
        <v>9</v>
      </c>
      <c r="C13" s="58" t="s">
        <v>6</v>
      </c>
      <c r="D13" s="58">
        <v>1</v>
      </c>
      <c r="E13" s="58">
        <v>1</v>
      </c>
      <c r="F13" s="58">
        <v>1</v>
      </c>
      <c r="G13" s="58">
        <v>3</v>
      </c>
      <c r="H13" s="58">
        <v>1</v>
      </c>
      <c r="I13" s="59" t="s">
        <v>65</v>
      </c>
      <c r="J13" s="60" t="s">
        <v>52</v>
      </c>
    </row>
    <row r="14" spans="1:10" ht="20" x14ac:dyDescent="0.35">
      <c r="A14" s="57">
        <v>16</v>
      </c>
      <c r="B14" s="58" t="s">
        <v>9</v>
      </c>
      <c r="C14" s="58" t="s">
        <v>6</v>
      </c>
      <c r="D14" s="58">
        <v>4</v>
      </c>
      <c r="E14" s="58">
        <v>2</v>
      </c>
      <c r="F14" s="58">
        <v>4</v>
      </c>
      <c r="G14" s="58">
        <v>3</v>
      </c>
      <c r="H14" s="58">
        <v>3</v>
      </c>
      <c r="I14" s="64" t="s">
        <v>179</v>
      </c>
      <c r="J14" s="60" t="s">
        <v>14</v>
      </c>
    </row>
    <row r="15" spans="1:10" x14ac:dyDescent="0.35">
      <c r="A15" s="53">
        <v>1</v>
      </c>
      <c r="B15" s="54" t="s">
        <v>6</v>
      </c>
      <c r="C15" s="54" t="s">
        <v>12</v>
      </c>
      <c r="D15" s="54">
        <v>2</v>
      </c>
      <c r="E15" s="54">
        <v>1</v>
      </c>
      <c r="F15" s="54">
        <v>2</v>
      </c>
      <c r="G15" s="54">
        <v>3</v>
      </c>
      <c r="H15" s="54">
        <v>1</v>
      </c>
      <c r="I15" s="55" t="s">
        <v>51</v>
      </c>
      <c r="J15" s="56" t="s">
        <v>52</v>
      </c>
    </row>
    <row r="16" spans="1:10" ht="20" x14ac:dyDescent="0.35">
      <c r="A16" s="53">
        <v>5</v>
      </c>
      <c r="B16" s="54" t="s">
        <v>6</v>
      </c>
      <c r="C16" s="54" t="s">
        <v>12</v>
      </c>
      <c r="D16" s="54">
        <v>1</v>
      </c>
      <c r="E16" s="54">
        <v>1</v>
      </c>
      <c r="F16" s="54">
        <v>3</v>
      </c>
      <c r="G16" s="54">
        <v>3</v>
      </c>
      <c r="H16" s="54">
        <v>1</v>
      </c>
      <c r="I16" s="55" t="s">
        <v>56</v>
      </c>
      <c r="J16" s="56" t="s">
        <v>124</v>
      </c>
    </row>
    <row r="17" spans="1:11" ht="30" x14ac:dyDescent="0.35">
      <c r="A17" s="53">
        <v>7</v>
      </c>
      <c r="B17" s="54" t="s">
        <v>6</v>
      </c>
      <c r="C17" s="54" t="s">
        <v>12</v>
      </c>
      <c r="D17" s="54">
        <v>2</v>
      </c>
      <c r="E17" s="54">
        <v>2</v>
      </c>
      <c r="F17" s="54">
        <v>1</v>
      </c>
      <c r="G17" s="54">
        <v>2</v>
      </c>
      <c r="H17" s="54">
        <v>1</v>
      </c>
      <c r="I17" s="55" t="s">
        <v>58</v>
      </c>
      <c r="J17" s="56" t="s">
        <v>123</v>
      </c>
    </row>
    <row r="18" spans="1:11" x14ac:dyDescent="0.35">
      <c r="A18" s="53">
        <v>11</v>
      </c>
      <c r="B18" s="54" t="s">
        <v>6</v>
      </c>
      <c r="C18" s="54" t="s">
        <v>12</v>
      </c>
      <c r="D18" s="54">
        <v>2</v>
      </c>
      <c r="E18" s="54">
        <v>2</v>
      </c>
      <c r="F18" s="54">
        <v>1</v>
      </c>
      <c r="G18" s="54">
        <v>4</v>
      </c>
      <c r="H18" s="54">
        <v>1</v>
      </c>
      <c r="I18" s="55" t="s">
        <v>62</v>
      </c>
      <c r="J18" s="56" t="s">
        <v>34</v>
      </c>
      <c r="K18" s="88"/>
    </row>
    <row r="19" spans="1:11" x14ac:dyDescent="0.35">
      <c r="A19" s="53">
        <v>13</v>
      </c>
      <c r="B19" s="54" t="s">
        <v>6</v>
      </c>
      <c r="C19" s="54" t="s">
        <v>12</v>
      </c>
      <c r="D19" s="54">
        <v>1</v>
      </c>
      <c r="E19" s="54">
        <v>1</v>
      </c>
      <c r="F19" s="54">
        <v>4</v>
      </c>
      <c r="G19" s="54">
        <v>4</v>
      </c>
      <c r="H19" s="54">
        <v>1</v>
      </c>
      <c r="I19" s="55" t="s">
        <v>64</v>
      </c>
      <c r="J19" s="56" t="s">
        <v>124</v>
      </c>
      <c r="K19" s="88"/>
    </row>
    <row r="20" spans="1:11" ht="20" x14ac:dyDescent="0.35">
      <c r="A20" s="65">
        <v>17</v>
      </c>
      <c r="B20" s="66" t="s">
        <v>6</v>
      </c>
      <c r="C20" s="66" t="s">
        <v>12</v>
      </c>
      <c r="D20" s="66">
        <v>3</v>
      </c>
      <c r="E20" s="66">
        <v>3</v>
      </c>
      <c r="F20" s="66">
        <v>2</v>
      </c>
      <c r="G20" s="66">
        <v>3</v>
      </c>
      <c r="H20" s="66">
        <v>1</v>
      </c>
      <c r="I20" s="67" t="s">
        <v>162</v>
      </c>
      <c r="J20" s="68" t="s">
        <v>34</v>
      </c>
      <c r="K20" s="2"/>
    </row>
    <row r="21" spans="1:11" x14ac:dyDescent="0.35">
      <c r="A21" s="1"/>
      <c r="B21" s="1"/>
      <c r="C21" s="1"/>
      <c r="D21" s="1"/>
      <c r="E21" s="1"/>
      <c r="F21" s="1"/>
      <c r="G21" s="1"/>
      <c r="H21" s="1"/>
      <c r="I21" s="1"/>
      <c r="J21" s="2"/>
      <c r="K21" s="2"/>
    </row>
    <row r="22" spans="1:11" x14ac:dyDescent="0.35">
      <c r="A22" s="82" t="s">
        <v>144</v>
      </c>
      <c r="B22" s="83"/>
      <c r="C22" s="83"/>
      <c r="D22" s="48" t="s">
        <v>145</v>
      </c>
      <c r="E22" s="49"/>
      <c r="F22" s="49"/>
      <c r="G22" s="49"/>
      <c r="H22" s="49"/>
      <c r="I22" s="43"/>
      <c r="J22" s="44"/>
    </row>
    <row r="23" spans="1:11" ht="29" x14ac:dyDescent="0.35">
      <c r="A23" s="74" t="s">
        <v>107</v>
      </c>
      <c r="B23" s="75"/>
      <c r="C23" s="75"/>
      <c r="D23" s="46">
        <f>AVERAGE(D3:D20)</f>
        <v>2.1666666666666665</v>
      </c>
      <c r="E23" s="46">
        <f t="shared" ref="E23:H23" si="0">AVERAGE(E3:E20)</f>
        <v>1.7222222222222223</v>
      </c>
      <c r="F23" s="46">
        <f t="shared" si="0"/>
        <v>1.9444444444444444</v>
      </c>
      <c r="G23" s="46">
        <f t="shared" si="0"/>
        <v>2.9444444444444446</v>
      </c>
      <c r="H23" s="46">
        <f t="shared" si="0"/>
        <v>1.1666666666666667</v>
      </c>
      <c r="I23" s="45" t="s">
        <v>111</v>
      </c>
      <c r="J23" s="47" t="s">
        <v>180</v>
      </c>
    </row>
    <row r="24" spans="1:11" x14ac:dyDescent="0.35">
      <c r="A24" s="76" t="s">
        <v>108</v>
      </c>
      <c r="B24" s="77"/>
      <c r="C24" s="77"/>
      <c r="D24" s="14">
        <f>MEDIAN(D3:D20)</f>
        <v>2</v>
      </c>
      <c r="E24" s="14">
        <f t="shared" ref="E24:H24" si="1">MEDIAN(E3:E20)</f>
        <v>2</v>
      </c>
      <c r="F24" s="14">
        <f t="shared" si="1"/>
        <v>1.5</v>
      </c>
      <c r="G24" s="14">
        <f t="shared" si="1"/>
        <v>3</v>
      </c>
      <c r="H24" s="14">
        <f t="shared" si="1"/>
        <v>1</v>
      </c>
      <c r="I24" s="14"/>
      <c r="J24" s="13"/>
    </row>
    <row r="25" spans="1:11" x14ac:dyDescent="0.35">
      <c r="A25" s="78" t="s">
        <v>109</v>
      </c>
      <c r="B25" s="79"/>
      <c r="C25" s="79"/>
      <c r="D25" s="52">
        <f>_xlfn.STDEV.S(D3:D20)</f>
        <v>0.98518436614377802</v>
      </c>
      <c r="E25" s="52">
        <f t="shared" ref="E25:H25" si="2">_xlfn.STDEV.S(E3:E20)</f>
        <v>0.66911315806868854</v>
      </c>
      <c r="F25" s="52">
        <f t="shared" si="2"/>
        <v>1.1099667309387473</v>
      </c>
      <c r="G25" s="52">
        <f t="shared" si="2"/>
        <v>0.63913749070614267</v>
      </c>
      <c r="H25" s="52">
        <f t="shared" si="2"/>
        <v>0.51449575542752657</v>
      </c>
      <c r="I25" s="15" t="s">
        <v>112</v>
      </c>
      <c r="J25" s="16" t="s">
        <v>181</v>
      </c>
    </row>
    <row r="27" spans="1:11" x14ac:dyDescent="0.35">
      <c r="A27" s="84" t="s">
        <v>134</v>
      </c>
      <c r="B27" s="85"/>
      <c r="C27" s="85"/>
      <c r="D27" s="21" t="s">
        <v>143</v>
      </c>
      <c r="E27" s="9"/>
      <c r="F27" s="9"/>
      <c r="G27" s="9"/>
      <c r="H27" s="9"/>
      <c r="I27" s="9"/>
      <c r="J27" s="10"/>
    </row>
    <row r="28" spans="1:11" x14ac:dyDescent="0.35">
      <c r="A28" s="76" t="s">
        <v>107</v>
      </c>
      <c r="B28" s="77"/>
      <c r="C28" s="77"/>
      <c r="D28" s="12">
        <f>AVERAGE(D3:D8)</f>
        <v>2.1666666666666665</v>
      </c>
      <c r="E28" s="12">
        <f t="shared" ref="E28:H28" si="3">AVERAGE(E3:E8)</f>
        <v>1.6666666666666667</v>
      </c>
      <c r="F28" s="12">
        <f t="shared" si="3"/>
        <v>2</v>
      </c>
      <c r="G28" s="12">
        <f t="shared" si="3"/>
        <v>2.6666666666666665</v>
      </c>
      <c r="H28" s="12">
        <f t="shared" si="3"/>
        <v>1</v>
      </c>
      <c r="I28" s="11" t="s">
        <v>111</v>
      </c>
      <c r="J28" s="13"/>
    </row>
    <row r="29" spans="1:11" x14ac:dyDescent="0.35">
      <c r="A29" s="76" t="s">
        <v>108</v>
      </c>
      <c r="B29" s="77"/>
      <c r="C29" s="77"/>
      <c r="D29" s="14">
        <f>MEDIAN(D3:D8)</f>
        <v>2</v>
      </c>
      <c r="E29" s="14">
        <f t="shared" ref="E29:H29" si="4">MEDIAN(E3:E8)</f>
        <v>1.5</v>
      </c>
      <c r="F29" s="14">
        <f t="shared" si="4"/>
        <v>2</v>
      </c>
      <c r="G29" s="14">
        <f t="shared" si="4"/>
        <v>3</v>
      </c>
      <c r="H29" s="14">
        <f t="shared" si="4"/>
        <v>1</v>
      </c>
      <c r="I29" s="14"/>
      <c r="J29" s="13"/>
    </row>
    <row r="30" spans="1:11" x14ac:dyDescent="0.35">
      <c r="A30" s="78" t="s">
        <v>109</v>
      </c>
      <c r="B30" s="79"/>
      <c r="C30" s="79"/>
      <c r="D30" s="52">
        <f>_xlfn.STDEV.S(D3:D8)</f>
        <v>1.169045194450012</v>
      </c>
      <c r="E30" s="52">
        <f t="shared" ref="E30:H30" si="5">_xlfn.STDEV.S(E3:E8)</f>
        <v>0.81649658092772592</v>
      </c>
      <c r="F30" s="52">
        <f t="shared" si="5"/>
        <v>1.0954451150103321</v>
      </c>
      <c r="G30" s="52">
        <f t="shared" si="5"/>
        <v>0.51639777949432275</v>
      </c>
      <c r="H30" s="52">
        <f t="shared" si="5"/>
        <v>0</v>
      </c>
      <c r="I30" s="15" t="s">
        <v>112</v>
      </c>
      <c r="J30" s="16" t="s">
        <v>155</v>
      </c>
    </row>
    <row r="31" spans="1:11" x14ac:dyDescent="0.35">
      <c r="C31" s="6"/>
    </row>
    <row r="32" spans="1:11" x14ac:dyDescent="0.35">
      <c r="A32" s="86" t="s">
        <v>135</v>
      </c>
      <c r="B32" s="87"/>
      <c r="C32" s="87"/>
      <c r="D32" s="22" t="s">
        <v>143</v>
      </c>
      <c r="E32" s="17"/>
      <c r="F32" s="17"/>
      <c r="G32" s="17"/>
      <c r="H32" s="17"/>
      <c r="I32" s="17"/>
      <c r="J32" s="18"/>
    </row>
    <row r="33" spans="1:10" x14ac:dyDescent="0.35">
      <c r="A33" s="76" t="s">
        <v>107</v>
      </c>
      <c r="B33" s="77"/>
      <c r="C33" s="77"/>
      <c r="D33" s="12">
        <f>AVERAGE(D15:D20)</f>
        <v>1.8333333333333333</v>
      </c>
      <c r="E33" s="12">
        <f t="shared" ref="E33:H33" si="6">AVERAGE(E15:E20)</f>
        <v>1.6666666666666667</v>
      </c>
      <c r="F33" s="12">
        <f t="shared" si="6"/>
        <v>2.1666666666666665</v>
      </c>
      <c r="G33" s="12">
        <f t="shared" si="6"/>
        <v>3.1666666666666665</v>
      </c>
      <c r="H33" s="12">
        <f t="shared" si="6"/>
        <v>1</v>
      </c>
      <c r="I33" s="11" t="s">
        <v>111</v>
      </c>
      <c r="J33" s="13" t="s">
        <v>163</v>
      </c>
    </row>
    <row r="34" spans="1:10" x14ac:dyDescent="0.35">
      <c r="A34" s="76" t="s">
        <v>108</v>
      </c>
      <c r="B34" s="77"/>
      <c r="C34" s="77"/>
      <c r="D34" s="14">
        <f>MEDIAN(D15:D20)</f>
        <v>2</v>
      </c>
      <c r="E34" s="14">
        <f>MEDIAN(E15:E20)</f>
        <v>1.5</v>
      </c>
      <c r="F34" s="14">
        <f>MEDIAN(F15:F20)</f>
        <v>2</v>
      </c>
      <c r="G34" s="14">
        <f t="shared" ref="G34:H34" si="7">MEDIAN(G15:G20)</f>
        <v>3</v>
      </c>
      <c r="H34" s="14">
        <f t="shared" si="7"/>
        <v>1</v>
      </c>
      <c r="I34" s="14"/>
      <c r="J34" s="13"/>
    </row>
    <row r="35" spans="1:10" x14ac:dyDescent="0.35">
      <c r="A35" s="78" t="s">
        <v>109</v>
      </c>
      <c r="B35" s="79"/>
      <c r="C35" s="79"/>
      <c r="D35" s="52">
        <f>_xlfn.STDEV.S(D15:D20)</f>
        <v>0.75277265270908089</v>
      </c>
      <c r="E35" s="52">
        <f t="shared" ref="E35:H35" si="8">_xlfn.STDEV.S(E15:E20)</f>
        <v>0.81649658092772592</v>
      </c>
      <c r="F35" s="52">
        <f t="shared" si="8"/>
        <v>1.169045194450012</v>
      </c>
      <c r="G35" s="52">
        <f t="shared" si="8"/>
        <v>0.75277265270908122</v>
      </c>
      <c r="H35" s="52">
        <f t="shared" si="8"/>
        <v>0</v>
      </c>
      <c r="I35" s="15" t="s">
        <v>112</v>
      </c>
      <c r="J35" s="16"/>
    </row>
    <row r="36" spans="1:10" x14ac:dyDescent="0.35">
      <c r="C36" s="6"/>
    </row>
    <row r="37" spans="1:10" x14ac:dyDescent="0.35">
      <c r="A37" s="80" t="s">
        <v>136</v>
      </c>
      <c r="B37" s="81"/>
      <c r="C37" s="81"/>
      <c r="D37" s="23" t="s">
        <v>143</v>
      </c>
      <c r="E37" s="19"/>
      <c r="F37" s="19"/>
      <c r="G37" s="19"/>
      <c r="H37" s="19"/>
      <c r="I37" s="19"/>
      <c r="J37" s="20"/>
    </row>
    <row r="38" spans="1:10" x14ac:dyDescent="0.35">
      <c r="A38" s="76" t="s">
        <v>107</v>
      </c>
      <c r="B38" s="77"/>
      <c r="C38" s="77"/>
      <c r="D38" s="12">
        <f>AVERAGE(D9:D14)</f>
        <v>2.5</v>
      </c>
      <c r="E38" s="12">
        <f t="shared" ref="E38:H38" si="9">AVERAGE(E9:E14)</f>
        <v>1.8333333333333333</v>
      </c>
      <c r="F38" s="12">
        <f t="shared" si="9"/>
        <v>1.6666666666666667</v>
      </c>
      <c r="G38" s="12">
        <f t="shared" si="9"/>
        <v>3</v>
      </c>
      <c r="H38" s="12">
        <f t="shared" si="9"/>
        <v>1.5</v>
      </c>
      <c r="I38" s="11" t="s">
        <v>111</v>
      </c>
      <c r="J38" s="13"/>
    </row>
    <row r="39" spans="1:10" x14ac:dyDescent="0.35">
      <c r="A39" s="76" t="s">
        <v>108</v>
      </c>
      <c r="B39" s="77"/>
      <c r="C39" s="77"/>
      <c r="D39" s="14">
        <f>MEDIAN(D9:D14)</f>
        <v>2.5</v>
      </c>
      <c r="E39" s="14">
        <f t="shared" ref="E39:H39" si="10">MEDIAN(E9:E14)</f>
        <v>2</v>
      </c>
      <c r="F39" s="14">
        <f t="shared" si="10"/>
        <v>1</v>
      </c>
      <c r="G39" s="14">
        <f t="shared" si="10"/>
        <v>3</v>
      </c>
      <c r="H39" s="14">
        <f t="shared" si="10"/>
        <v>1</v>
      </c>
      <c r="I39" s="14"/>
      <c r="J39" s="13"/>
    </row>
    <row r="40" spans="1:10" x14ac:dyDescent="0.35">
      <c r="A40" s="78" t="s">
        <v>109</v>
      </c>
      <c r="B40" s="79"/>
      <c r="C40" s="79"/>
      <c r="D40" s="52">
        <f>_xlfn.STDEV.S(D9:D14)</f>
        <v>1.0488088481701516</v>
      </c>
      <c r="E40" s="52">
        <f t="shared" ref="E40:H40" si="11">_xlfn.STDEV.S(E9:E14)</f>
        <v>0.40824829046386274</v>
      </c>
      <c r="F40" s="52">
        <f t="shared" si="11"/>
        <v>1.2110601416389966</v>
      </c>
      <c r="G40" s="52">
        <f t="shared" si="11"/>
        <v>0.63245553203367588</v>
      </c>
      <c r="H40" s="52">
        <f t="shared" si="11"/>
        <v>0.83666002653407556</v>
      </c>
      <c r="I40" s="15" t="s">
        <v>112</v>
      </c>
      <c r="J40" s="16" t="s">
        <v>138</v>
      </c>
    </row>
    <row r="43" spans="1:10" x14ac:dyDescent="0.35">
      <c r="C43" s="7" t="s">
        <v>189</v>
      </c>
      <c r="D43" s="7" t="s">
        <v>190</v>
      </c>
      <c r="E43" s="7" t="s">
        <v>191</v>
      </c>
      <c r="F43" s="7" t="s">
        <v>192</v>
      </c>
      <c r="G43" s="7" t="s">
        <v>193</v>
      </c>
      <c r="H43" s="7" t="s">
        <v>194</v>
      </c>
      <c r="I43" s="7" t="s">
        <v>198</v>
      </c>
      <c r="J43" s="8" t="s">
        <v>199</v>
      </c>
    </row>
    <row r="44" spans="1:10" x14ac:dyDescent="0.35">
      <c r="C44" s="7" t="s">
        <v>195</v>
      </c>
      <c r="D44" s="12">
        <f>D28</f>
        <v>2.1666666666666665</v>
      </c>
      <c r="E44" s="12">
        <f t="shared" ref="E44:H44" si="12">E28</f>
        <v>1.6666666666666667</v>
      </c>
      <c r="F44" s="12">
        <f t="shared" si="12"/>
        <v>2</v>
      </c>
      <c r="G44" s="12">
        <f t="shared" si="12"/>
        <v>2.6666666666666665</v>
      </c>
      <c r="H44" s="12">
        <f t="shared" si="12"/>
        <v>1</v>
      </c>
      <c r="I44" s="70">
        <f>AVERAGE(D44:H44)</f>
        <v>1.9</v>
      </c>
      <c r="J44" s="8">
        <f>_xlfn.STDEV.S(D44:H44)</f>
        <v>0.61913918736689</v>
      </c>
    </row>
    <row r="45" spans="1:10" x14ac:dyDescent="0.35">
      <c r="C45" s="7" t="s">
        <v>196</v>
      </c>
      <c r="D45" s="12">
        <f>D33</f>
        <v>1.8333333333333333</v>
      </c>
      <c r="E45" s="12">
        <f t="shared" ref="E45:H45" si="13">E33</f>
        <v>1.6666666666666667</v>
      </c>
      <c r="F45" s="12">
        <f t="shared" si="13"/>
        <v>2.1666666666666665</v>
      </c>
      <c r="G45" s="12">
        <f t="shared" si="13"/>
        <v>3.1666666666666665</v>
      </c>
      <c r="H45" s="12">
        <f t="shared" si="13"/>
        <v>1</v>
      </c>
      <c r="I45" s="70">
        <f t="shared" ref="I45:I46" si="14">AVERAGE(D45:H45)</f>
        <v>1.9666666666666663</v>
      </c>
      <c r="J45" s="8">
        <f t="shared" ref="J45:J46" si="15">_xlfn.STDEV.S(D45:H45)</f>
        <v>0.79407528330477362</v>
      </c>
    </row>
    <row r="46" spans="1:10" x14ac:dyDescent="0.35">
      <c r="C46" s="7" t="s">
        <v>197</v>
      </c>
      <c r="D46" s="12">
        <f>D38</f>
        <v>2.5</v>
      </c>
      <c r="E46" s="12">
        <f t="shared" ref="E46:H46" si="16">E38</f>
        <v>1.8333333333333333</v>
      </c>
      <c r="F46" s="12">
        <f>F38</f>
        <v>1.6666666666666667</v>
      </c>
      <c r="G46" s="12">
        <f t="shared" si="16"/>
        <v>3</v>
      </c>
      <c r="H46" s="12">
        <f t="shared" si="16"/>
        <v>1.5</v>
      </c>
      <c r="I46" s="70">
        <f t="shared" si="14"/>
        <v>2.1</v>
      </c>
      <c r="J46" s="8">
        <f t="shared" si="15"/>
        <v>0.6302556800396345</v>
      </c>
    </row>
    <row r="66" spans="9:9" x14ac:dyDescent="0.35">
      <c r="I66" s="7" t="s">
        <v>200</v>
      </c>
    </row>
  </sheetData>
  <sortState xmlns:xlrd2="http://schemas.microsoft.com/office/spreadsheetml/2017/richdata2" ref="A3:J20">
    <sortCondition ref="B3:B20"/>
  </sortState>
  <mergeCells count="17">
    <mergeCell ref="A35:C35"/>
    <mergeCell ref="A37:C37"/>
    <mergeCell ref="A38:C38"/>
    <mergeCell ref="A39:C39"/>
    <mergeCell ref="A40:C40"/>
    <mergeCell ref="A34:C34"/>
    <mergeCell ref="A1:J1"/>
    <mergeCell ref="A23:C23"/>
    <mergeCell ref="A24:C24"/>
    <mergeCell ref="A25:C25"/>
    <mergeCell ref="A22:C22"/>
    <mergeCell ref="A27:C27"/>
    <mergeCell ref="A28:C28"/>
    <mergeCell ref="A29:C29"/>
    <mergeCell ref="A30:C30"/>
    <mergeCell ref="A32:C32"/>
    <mergeCell ref="A33:C3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33F6C-2B48-42BE-AEC1-C40A1D8BAEBF}">
  <dimension ref="A1:J46"/>
  <sheetViews>
    <sheetView zoomScale="70" zoomScaleNormal="70" workbookViewId="0">
      <pane ySplit="2" topLeftCell="A3" activePane="bottomLeft" state="frozen"/>
      <selection pane="bottomLeft" activeCell="L24" sqref="L24"/>
    </sheetView>
  </sheetViews>
  <sheetFormatPr defaultRowHeight="14.5" x14ac:dyDescent="0.35"/>
  <cols>
    <col min="1" max="1" width="11.81640625" style="7" customWidth="1"/>
    <col min="2" max="2" width="6.7265625" style="7" customWidth="1"/>
    <col min="3" max="3" width="10.81640625" style="7" customWidth="1"/>
    <col min="4" max="8" width="17.08984375" style="7" customWidth="1"/>
    <col min="9" max="9" width="57.7265625" style="7" customWidth="1"/>
    <col min="10" max="10" width="48.54296875" style="8" customWidth="1"/>
    <col min="11" max="16384" width="8.7265625" style="7"/>
  </cols>
  <sheetData>
    <row r="1" spans="1:10" s="25" customFormat="1" ht="18" x14ac:dyDescent="0.35">
      <c r="A1" s="71" t="s">
        <v>67</v>
      </c>
      <c r="B1" s="72"/>
      <c r="C1" s="72"/>
      <c r="D1" s="72"/>
      <c r="E1" s="72"/>
      <c r="F1" s="72"/>
      <c r="G1" s="72"/>
      <c r="H1" s="72"/>
      <c r="I1" s="72"/>
      <c r="J1" s="73"/>
    </row>
    <row r="2" spans="1:10" s="26" customFormat="1" ht="26" x14ac:dyDescent="0.35">
      <c r="A2" s="63" t="s">
        <v>1</v>
      </c>
      <c r="B2" s="63" t="s">
        <v>2</v>
      </c>
      <c r="C2" s="63" t="s">
        <v>146</v>
      </c>
      <c r="D2" s="63" t="s">
        <v>149</v>
      </c>
      <c r="E2" s="63" t="s">
        <v>3</v>
      </c>
      <c r="F2" s="63" t="s">
        <v>150</v>
      </c>
      <c r="G2" s="63" t="s">
        <v>151</v>
      </c>
      <c r="H2" s="63" t="s">
        <v>152</v>
      </c>
      <c r="I2" s="63" t="s">
        <v>5</v>
      </c>
      <c r="J2" s="63" t="s">
        <v>142</v>
      </c>
    </row>
    <row r="3" spans="1:10" x14ac:dyDescent="0.35">
      <c r="A3" s="61">
        <v>3</v>
      </c>
      <c r="B3" s="1" t="s">
        <v>12</v>
      </c>
      <c r="C3" s="1" t="s">
        <v>6</v>
      </c>
      <c r="D3" s="1">
        <v>2</v>
      </c>
      <c r="E3" s="1">
        <v>2</v>
      </c>
      <c r="F3" s="1">
        <v>2</v>
      </c>
      <c r="G3" s="1">
        <v>1</v>
      </c>
      <c r="H3" s="1">
        <v>3</v>
      </c>
      <c r="I3" s="62" t="s">
        <v>71</v>
      </c>
      <c r="J3" s="28" t="s">
        <v>72</v>
      </c>
    </row>
    <row r="4" spans="1:10" x14ac:dyDescent="0.35">
      <c r="A4" s="61">
        <v>4</v>
      </c>
      <c r="B4" s="1" t="s">
        <v>12</v>
      </c>
      <c r="C4" s="1" t="s">
        <v>6</v>
      </c>
      <c r="D4" s="1">
        <v>2</v>
      </c>
      <c r="E4" s="1">
        <v>2</v>
      </c>
      <c r="F4" s="1">
        <v>4</v>
      </c>
      <c r="G4" s="1">
        <v>3</v>
      </c>
      <c r="H4" s="1">
        <v>1</v>
      </c>
      <c r="I4" s="62" t="s">
        <v>73</v>
      </c>
      <c r="J4" s="28" t="s">
        <v>74</v>
      </c>
    </row>
    <row r="5" spans="1:10" ht="30" x14ac:dyDescent="0.35">
      <c r="A5" s="61">
        <v>9</v>
      </c>
      <c r="B5" s="1" t="s">
        <v>12</v>
      </c>
      <c r="C5" s="1" t="s">
        <v>6</v>
      </c>
      <c r="D5" s="1">
        <v>4</v>
      </c>
      <c r="E5" s="1">
        <v>3</v>
      </c>
      <c r="F5" s="1">
        <v>1</v>
      </c>
      <c r="G5" s="1">
        <v>3</v>
      </c>
      <c r="H5" s="1">
        <v>1</v>
      </c>
      <c r="I5" s="62" t="s">
        <v>79</v>
      </c>
      <c r="J5" s="28" t="s">
        <v>80</v>
      </c>
    </row>
    <row r="6" spans="1:10" x14ac:dyDescent="0.35">
      <c r="A6" s="61">
        <v>10</v>
      </c>
      <c r="B6" s="1" t="s">
        <v>12</v>
      </c>
      <c r="C6" s="1" t="s">
        <v>6</v>
      </c>
      <c r="D6" s="1">
        <v>4</v>
      </c>
      <c r="E6" s="1">
        <v>3</v>
      </c>
      <c r="F6" s="1">
        <v>2</v>
      </c>
      <c r="G6" s="1">
        <v>3</v>
      </c>
      <c r="H6" s="1">
        <v>3</v>
      </c>
      <c r="I6" s="62" t="s">
        <v>81</v>
      </c>
      <c r="J6" s="28" t="s">
        <v>119</v>
      </c>
    </row>
    <row r="7" spans="1:10" x14ac:dyDescent="0.35">
      <c r="A7" s="61">
        <v>15</v>
      </c>
      <c r="B7" s="1" t="s">
        <v>12</v>
      </c>
      <c r="C7" s="1" t="s">
        <v>6</v>
      </c>
      <c r="D7" s="1">
        <v>2</v>
      </c>
      <c r="E7" s="1">
        <v>2</v>
      </c>
      <c r="F7" s="1">
        <v>1</v>
      </c>
      <c r="G7" s="1">
        <v>3</v>
      </c>
      <c r="H7" s="1">
        <v>1</v>
      </c>
      <c r="I7" s="62" t="s">
        <v>86</v>
      </c>
      <c r="J7" s="28"/>
    </row>
    <row r="8" spans="1:10" x14ac:dyDescent="0.35">
      <c r="A8" s="61">
        <v>18</v>
      </c>
      <c r="B8" s="1" t="s">
        <v>12</v>
      </c>
      <c r="C8" s="1" t="s">
        <v>6</v>
      </c>
      <c r="D8" s="1">
        <v>2</v>
      </c>
      <c r="E8" s="1">
        <v>2</v>
      </c>
      <c r="F8" s="1">
        <v>1</v>
      </c>
      <c r="G8" s="1">
        <v>2</v>
      </c>
      <c r="H8" s="1">
        <v>1</v>
      </c>
      <c r="I8" s="62"/>
      <c r="J8" s="28"/>
    </row>
    <row r="9" spans="1:10" x14ac:dyDescent="0.35">
      <c r="A9" s="57">
        <v>2</v>
      </c>
      <c r="B9" s="58" t="s">
        <v>9</v>
      </c>
      <c r="C9" s="58" t="s">
        <v>12</v>
      </c>
      <c r="D9" s="58">
        <v>2</v>
      </c>
      <c r="E9" s="58">
        <v>2</v>
      </c>
      <c r="F9" s="58">
        <v>1</v>
      </c>
      <c r="G9" s="58">
        <v>2</v>
      </c>
      <c r="H9" s="58">
        <v>1</v>
      </c>
      <c r="I9" s="59" t="s">
        <v>70</v>
      </c>
      <c r="J9" s="60"/>
    </row>
    <row r="10" spans="1:10" x14ac:dyDescent="0.35">
      <c r="A10" s="57">
        <v>6</v>
      </c>
      <c r="B10" s="58" t="s">
        <v>9</v>
      </c>
      <c r="C10" s="58" t="s">
        <v>12</v>
      </c>
      <c r="D10" s="58">
        <v>3</v>
      </c>
      <c r="E10" s="58">
        <v>2</v>
      </c>
      <c r="F10" s="58">
        <v>2</v>
      </c>
      <c r="G10" s="58">
        <v>1</v>
      </c>
      <c r="H10" s="58">
        <v>1</v>
      </c>
      <c r="I10" s="59" t="s">
        <v>76</v>
      </c>
      <c r="J10" s="60" t="s">
        <v>77</v>
      </c>
    </row>
    <row r="11" spans="1:10" ht="20" x14ac:dyDescent="0.35">
      <c r="A11" s="57">
        <v>8</v>
      </c>
      <c r="B11" s="58" t="s">
        <v>9</v>
      </c>
      <c r="C11" s="58" t="s">
        <v>12</v>
      </c>
      <c r="D11" s="58">
        <v>2</v>
      </c>
      <c r="E11" s="58">
        <v>2</v>
      </c>
      <c r="F11" s="58">
        <v>3</v>
      </c>
      <c r="G11" s="58">
        <v>3</v>
      </c>
      <c r="H11" s="58">
        <v>1</v>
      </c>
      <c r="I11" s="59" t="s">
        <v>78</v>
      </c>
      <c r="J11" s="60" t="s">
        <v>201</v>
      </c>
    </row>
    <row r="12" spans="1:10" x14ac:dyDescent="0.35">
      <c r="A12" s="57">
        <v>12</v>
      </c>
      <c r="B12" s="58" t="s">
        <v>9</v>
      </c>
      <c r="C12" s="58" t="s">
        <v>12</v>
      </c>
      <c r="D12" s="58">
        <v>4</v>
      </c>
      <c r="E12" s="58">
        <v>2</v>
      </c>
      <c r="F12" s="58">
        <v>3</v>
      </c>
      <c r="G12" s="58">
        <v>3</v>
      </c>
      <c r="H12" s="58">
        <v>3</v>
      </c>
      <c r="I12" s="59" t="s">
        <v>83</v>
      </c>
      <c r="J12" s="60" t="s">
        <v>36</v>
      </c>
    </row>
    <row r="13" spans="1:10" x14ac:dyDescent="0.35">
      <c r="A13" s="57">
        <v>14</v>
      </c>
      <c r="B13" s="58" t="s">
        <v>9</v>
      </c>
      <c r="C13" s="58" t="s">
        <v>12</v>
      </c>
      <c r="D13" s="58">
        <v>3</v>
      </c>
      <c r="E13" s="58">
        <v>3</v>
      </c>
      <c r="F13" s="58">
        <v>1</v>
      </c>
      <c r="G13" s="58">
        <v>3</v>
      </c>
      <c r="H13" s="58">
        <v>1</v>
      </c>
      <c r="I13" s="59" t="s">
        <v>85</v>
      </c>
      <c r="J13" s="60"/>
    </row>
    <row r="14" spans="1:10" ht="20" x14ac:dyDescent="0.35">
      <c r="A14" s="57">
        <v>16</v>
      </c>
      <c r="B14" s="58" t="s">
        <v>9</v>
      </c>
      <c r="C14" s="58" t="s">
        <v>12</v>
      </c>
      <c r="D14" s="58">
        <v>4</v>
      </c>
      <c r="E14" s="58">
        <v>4</v>
      </c>
      <c r="F14" s="58">
        <v>2</v>
      </c>
      <c r="G14" s="58">
        <v>4</v>
      </c>
      <c r="H14" s="58">
        <v>4</v>
      </c>
      <c r="I14" s="59" t="s">
        <v>182</v>
      </c>
      <c r="J14" s="60" t="s">
        <v>183</v>
      </c>
    </row>
    <row r="15" spans="1:10" x14ac:dyDescent="0.35">
      <c r="A15" s="53">
        <v>1</v>
      </c>
      <c r="B15" s="54" t="s">
        <v>6</v>
      </c>
      <c r="C15" s="54" t="s">
        <v>9</v>
      </c>
      <c r="D15" s="54">
        <v>4</v>
      </c>
      <c r="E15" s="54">
        <v>4</v>
      </c>
      <c r="F15" s="54">
        <v>1</v>
      </c>
      <c r="G15" s="54">
        <v>4</v>
      </c>
      <c r="H15" s="54">
        <v>4</v>
      </c>
      <c r="I15" s="55" t="s">
        <v>68</v>
      </c>
      <c r="J15" s="56" t="s">
        <v>69</v>
      </c>
    </row>
    <row r="16" spans="1:10" ht="20" x14ac:dyDescent="0.35">
      <c r="A16" s="53">
        <v>5</v>
      </c>
      <c r="B16" s="54" t="s">
        <v>6</v>
      </c>
      <c r="C16" s="54" t="s">
        <v>9</v>
      </c>
      <c r="D16" s="54">
        <v>4</v>
      </c>
      <c r="E16" s="54">
        <v>4</v>
      </c>
      <c r="F16" s="54">
        <v>1</v>
      </c>
      <c r="G16" s="54">
        <v>4</v>
      </c>
      <c r="H16" s="54">
        <v>4</v>
      </c>
      <c r="I16" s="55" t="s">
        <v>75</v>
      </c>
      <c r="J16" s="56" t="s">
        <v>118</v>
      </c>
    </row>
    <row r="17" spans="1:10" ht="20" x14ac:dyDescent="0.35">
      <c r="A17" s="53">
        <v>7</v>
      </c>
      <c r="B17" s="54" t="s">
        <v>6</v>
      </c>
      <c r="C17" s="54" t="s">
        <v>9</v>
      </c>
      <c r="D17" s="54">
        <v>3</v>
      </c>
      <c r="E17" s="54">
        <v>3</v>
      </c>
      <c r="F17" s="54">
        <v>1</v>
      </c>
      <c r="G17" s="54">
        <v>3</v>
      </c>
      <c r="H17" s="54">
        <v>2</v>
      </c>
      <c r="I17" s="55" t="s">
        <v>117</v>
      </c>
      <c r="J17" s="56" t="s">
        <v>118</v>
      </c>
    </row>
    <row r="18" spans="1:10" x14ac:dyDescent="0.35">
      <c r="A18" s="53">
        <v>11</v>
      </c>
      <c r="B18" s="54" t="s">
        <v>6</v>
      </c>
      <c r="C18" s="54" t="s">
        <v>9</v>
      </c>
      <c r="D18" s="54">
        <v>2</v>
      </c>
      <c r="E18" s="54">
        <v>3</v>
      </c>
      <c r="F18" s="54">
        <v>3</v>
      </c>
      <c r="G18" s="54">
        <v>3</v>
      </c>
      <c r="H18" s="54">
        <v>2</v>
      </c>
      <c r="I18" s="55" t="s">
        <v>82</v>
      </c>
      <c r="J18" s="56" t="s">
        <v>115</v>
      </c>
    </row>
    <row r="19" spans="1:10" x14ac:dyDescent="0.35">
      <c r="A19" s="53">
        <v>13</v>
      </c>
      <c r="B19" s="54" t="s">
        <v>6</v>
      </c>
      <c r="C19" s="54" t="s">
        <v>9</v>
      </c>
      <c r="D19" s="54">
        <v>4</v>
      </c>
      <c r="E19" s="54">
        <v>3</v>
      </c>
      <c r="F19" s="54">
        <v>1</v>
      </c>
      <c r="G19" s="54">
        <v>4</v>
      </c>
      <c r="H19" s="54">
        <v>2</v>
      </c>
      <c r="I19" s="55" t="s">
        <v>84</v>
      </c>
      <c r="J19" s="56" t="s">
        <v>120</v>
      </c>
    </row>
    <row r="20" spans="1:10" ht="20" x14ac:dyDescent="0.35">
      <c r="A20" s="65">
        <v>17</v>
      </c>
      <c r="B20" s="66" t="s">
        <v>6</v>
      </c>
      <c r="C20" s="66" t="s">
        <v>9</v>
      </c>
      <c r="D20" s="66">
        <v>4</v>
      </c>
      <c r="E20" s="66">
        <v>3</v>
      </c>
      <c r="F20" s="66">
        <v>3</v>
      </c>
      <c r="G20" s="66">
        <v>4</v>
      </c>
      <c r="H20" s="66">
        <v>4</v>
      </c>
      <c r="I20" s="67" t="s">
        <v>164</v>
      </c>
      <c r="J20" s="68" t="s">
        <v>166</v>
      </c>
    </row>
    <row r="21" spans="1:10" x14ac:dyDescent="0.35">
      <c r="A21" s="1"/>
      <c r="B21" s="1"/>
      <c r="C21" s="1"/>
      <c r="D21" s="1"/>
      <c r="E21" s="1"/>
      <c r="F21" s="1"/>
      <c r="G21" s="1"/>
      <c r="H21" s="1"/>
      <c r="I21" s="2"/>
      <c r="J21" s="2"/>
    </row>
    <row r="22" spans="1:10" x14ac:dyDescent="0.35">
      <c r="A22" s="82" t="s">
        <v>144</v>
      </c>
      <c r="B22" s="83"/>
      <c r="C22" s="83"/>
      <c r="D22" s="48" t="s">
        <v>145</v>
      </c>
      <c r="E22" s="49"/>
      <c r="F22" s="49"/>
      <c r="G22" s="49"/>
      <c r="H22" s="49"/>
      <c r="I22" s="43"/>
      <c r="J22" s="44"/>
    </row>
    <row r="23" spans="1:10" ht="29" x14ac:dyDescent="0.35">
      <c r="A23" s="74" t="s">
        <v>107</v>
      </c>
      <c r="B23" s="75"/>
      <c r="C23" s="75"/>
      <c r="D23" s="46">
        <f>AVERAGE(D3:D20)</f>
        <v>3.0555555555555554</v>
      </c>
      <c r="E23" s="46">
        <f t="shared" ref="E23:H23" si="0">AVERAGE(E3:E20)</f>
        <v>2.7222222222222223</v>
      </c>
      <c r="F23" s="46">
        <f t="shared" si="0"/>
        <v>1.8333333333333333</v>
      </c>
      <c r="G23" s="46">
        <f t="shared" si="0"/>
        <v>2.9444444444444446</v>
      </c>
      <c r="H23" s="46">
        <f t="shared" si="0"/>
        <v>2.1666666666666665</v>
      </c>
      <c r="I23" s="45" t="s">
        <v>111</v>
      </c>
      <c r="J23" s="47" t="s">
        <v>202</v>
      </c>
    </row>
    <row r="24" spans="1:10" x14ac:dyDescent="0.35">
      <c r="A24" s="76" t="s">
        <v>108</v>
      </c>
      <c r="B24" s="77"/>
      <c r="C24" s="77"/>
      <c r="D24" s="14">
        <f>MEDIAN(D3:D20)</f>
        <v>3</v>
      </c>
      <c r="E24" s="14">
        <f t="shared" ref="E24:H24" si="1">MEDIAN(E3:E20)</f>
        <v>3</v>
      </c>
      <c r="F24" s="14">
        <f t="shared" si="1"/>
        <v>1.5</v>
      </c>
      <c r="G24" s="14">
        <f t="shared" si="1"/>
        <v>3</v>
      </c>
      <c r="H24" s="14">
        <f t="shared" si="1"/>
        <v>2</v>
      </c>
      <c r="I24" s="14"/>
      <c r="J24" s="13"/>
    </row>
    <row r="25" spans="1:10" x14ac:dyDescent="0.35">
      <c r="A25" s="78" t="s">
        <v>109</v>
      </c>
      <c r="B25" s="79"/>
      <c r="C25" s="79"/>
      <c r="D25" s="52">
        <f>_xlfn.STDEV.S(D3:D20)</f>
        <v>0.93759531105923422</v>
      </c>
      <c r="E25" s="52">
        <f t="shared" ref="E25:H25" si="2">_xlfn.STDEV.S(E3:E20)</f>
        <v>0.75190390152211817</v>
      </c>
      <c r="F25" s="52">
        <f t="shared" si="2"/>
        <v>0.98518436614377802</v>
      </c>
      <c r="G25" s="52">
        <f t="shared" si="2"/>
        <v>0.93759531105923422</v>
      </c>
      <c r="H25" s="52">
        <f t="shared" si="2"/>
        <v>1.2485285456935955</v>
      </c>
      <c r="I25" s="15" t="s">
        <v>112</v>
      </c>
      <c r="J25" s="16" t="s">
        <v>157</v>
      </c>
    </row>
    <row r="27" spans="1:10" x14ac:dyDescent="0.35">
      <c r="A27" s="84" t="s">
        <v>134</v>
      </c>
      <c r="B27" s="85"/>
      <c r="C27" s="85"/>
      <c r="D27" s="21" t="s">
        <v>143</v>
      </c>
      <c r="E27" s="9"/>
      <c r="F27" s="9"/>
      <c r="G27" s="9"/>
      <c r="H27" s="9"/>
      <c r="I27" s="9"/>
      <c r="J27" s="10"/>
    </row>
    <row r="28" spans="1:10" x14ac:dyDescent="0.35">
      <c r="A28" s="76" t="s">
        <v>107</v>
      </c>
      <c r="B28" s="77"/>
      <c r="C28" s="77"/>
      <c r="D28" s="12">
        <f>AVERAGE(D3:D8)</f>
        <v>2.6666666666666665</v>
      </c>
      <c r="E28" s="12">
        <f t="shared" ref="E28:H28" si="3">AVERAGE(E3:E8)</f>
        <v>2.3333333333333335</v>
      </c>
      <c r="F28" s="12">
        <f t="shared" si="3"/>
        <v>1.8333333333333333</v>
      </c>
      <c r="G28" s="12">
        <f t="shared" si="3"/>
        <v>2.5</v>
      </c>
      <c r="H28" s="12">
        <f t="shared" si="3"/>
        <v>1.6666666666666667</v>
      </c>
      <c r="I28" s="11" t="s">
        <v>111</v>
      </c>
      <c r="J28" s="13"/>
    </row>
    <row r="29" spans="1:10" x14ac:dyDescent="0.35">
      <c r="A29" s="76" t="s">
        <v>108</v>
      </c>
      <c r="B29" s="77"/>
      <c r="C29" s="77"/>
      <c r="D29" s="14">
        <f>MEDIAN(D3:D8)</f>
        <v>2</v>
      </c>
      <c r="E29" s="14">
        <f t="shared" ref="E29:H29" si="4">MEDIAN(E3:E8)</f>
        <v>2</v>
      </c>
      <c r="F29" s="14">
        <f t="shared" si="4"/>
        <v>1.5</v>
      </c>
      <c r="G29" s="14">
        <f t="shared" si="4"/>
        <v>3</v>
      </c>
      <c r="H29" s="14">
        <f t="shared" si="4"/>
        <v>1</v>
      </c>
      <c r="I29" s="14"/>
      <c r="J29" s="13"/>
    </row>
    <row r="30" spans="1:10" x14ac:dyDescent="0.35">
      <c r="A30" s="78" t="s">
        <v>109</v>
      </c>
      <c r="B30" s="79"/>
      <c r="C30" s="79"/>
      <c r="D30" s="52">
        <f>_xlfn.STDEV.S(D3:D8)</f>
        <v>1.0327955589886446</v>
      </c>
      <c r="E30" s="52">
        <f t="shared" ref="E30:H30" si="5">_xlfn.STDEV.S(E3:E8)</f>
        <v>0.51639777949432275</v>
      </c>
      <c r="F30" s="52">
        <f t="shared" si="5"/>
        <v>1.169045194450012</v>
      </c>
      <c r="G30" s="52">
        <f t="shared" si="5"/>
        <v>0.83666002653407556</v>
      </c>
      <c r="H30" s="52">
        <f t="shared" si="5"/>
        <v>1.0327955589886444</v>
      </c>
      <c r="I30" s="15" t="s">
        <v>112</v>
      </c>
      <c r="J30" s="16" t="s">
        <v>156</v>
      </c>
    </row>
    <row r="31" spans="1:10" x14ac:dyDescent="0.35">
      <c r="C31" s="6"/>
    </row>
    <row r="32" spans="1:10" x14ac:dyDescent="0.35">
      <c r="A32" s="86" t="s">
        <v>135</v>
      </c>
      <c r="B32" s="87"/>
      <c r="C32" s="87"/>
      <c r="D32" s="22" t="s">
        <v>143</v>
      </c>
      <c r="E32" s="17"/>
      <c r="F32" s="17"/>
      <c r="G32" s="17"/>
      <c r="H32" s="17"/>
      <c r="I32" s="17"/>
      <c r="J32" s="18"/>
    </row>
    <row r="33" spans="1:10" ht="29" x14ac:dyDescent="0.35">
      <c r="A33" s="76" t="s">
        <v>107</v>
      </c>
      <c r="B33" s="77"/>
      <c r="C33" s="77"/>
      <c r="D33" s="12">
        <f>AVERAGE(D15:D20)</f>
        <v>3.5</v>
      </c>
      <c r="E33" s="12">
        <f t="shared" ref="E33:H33" si="6">AVERAGE(E15:E20)</f>
        <v>3.3333333333333335</v>
      </c>
      <c r="F33" s="12">
        <f t="shared" si="6"/>
        <v>1.6666666666666667</v>
      </c>
      <c r="G33" s="12">
        <f t="shared" si="6"/>
        <v>3.6666666666666665</v>
      </c>
      <c r="H33" s="12">
        <f t="shared" si="6"/>
        <v>3</v>
      </c>
      <c r="I33" s="11" t="s">
        <v>111</v>
      </c>
      <c r="J33" s="13" t="s">
        <v>165</v>
      </c>
    </row>
    <row r="34" spans="1:10" x14ac:dyDescent="0.35">
      <c r="A34" s="76" t="s">
        <v>108</v>
      </c>
      <c r="B34" s="77"/>
      <c r="C34" s="77"/>
      <c r="D34" s="14">
        <f>MEDIAN(D15:D20)</f>
        <v>4</v>
      </c>
      <c r="E34" s="14">
        <f>MEDIAN(E15:E20)</f>
        <v>3</v>
      </c>
      <c r="F34" s="14">
        <f>MEDIAN(F15:F20)</f>
        <v>1</v>
      </c>
      <c r="G34" s="14">
        <f t="shared" ref="G34:H34" si="7">MEDIAN(G15:G20)</f>
        <v>4</v>
      </c>
      <c r="H34" s="14">
        <f t="shared" si="7"/>
        <v>3</v>
      </c>
      <c r="I34" s="14"/>
      <c r="J34" s="13"/>
    </row>
    <row r="35" spans="1:10" x14ac:dyDescent="0.35">
      <c r="A35" s="78" t="s">
        <v>109</v>
      </c>
      <c r="B35" s="79"/>
      <c r="C35" s="79"/>
      <c r="D35" s="52">
        <f>_xlfn.STDEV.S(D15:D20)</f>
        <v>0.83666002653407556</v>
      </c>
      <c r="E35" s="52">
        <f t="shared" ref="E35:H35" si="8">_xlfn.STDEV.S(E15:E20)</f>
        <v>0.51639777949432131</v>
      </c>
      <c r="F35" s="52">
        <f t="shared" si="8"/>
        <v>1.0327955589886444</v>
      </c>
      <c r="G35" s="52">
        <f t="shared" si="8"/>
        <v>0.51639777949432131</v>
      </c>
      <c r="H35" s="52">
        <f t="shared" si="8"/>
        <v>1.0954451150103321</v>
      </c>
      <c r="I35" s="15" t="s">
        <v>112</v>
      </c>
      <c r="J35" s="16" t="s">
        <v>156</v>
      </c>
    </row>
    <row r="36" spans="1:10" x14ac:dyDescent="0.35">
      <c r="C36" s="6"/>
    </row>
    <row r="37" spans="1:10" x14ac:dyDescent="0.35">
      <c r="A37" s="80" t="s">
        <v>136</v>
      </c>
      <c r="B37" s="81"/>
      <c r="C37" s="81"/>
      <c r="D37" s="23" t="s">
        <v>143</v>
      </c>
      <c r="E37" s="19"/>
      <c r="F37" s="19"/>
      <c r="G37" s="19"/>
      <c r="H37" s="19"/>
      <c r="I37" s="19"/>
      <c r="J37" s="20"/>
    </row>
    <row r="38" spans="1:10" x14ac:dyDescent="0.35">
      <c r="A38" s="76" t="s">
        <v>107</v>
      </c>
      <c r="B38" s="77"/>
      <c r="C38" s="77"/>
      <c r="D38" s="12">
        <f>AVERAGE(D9:D14)</f>
        <v>3</v>
      </c>
      <c r="E38" s="12">
        <f t="shared" ref="E38:H38" si="9">AVERAGE(E9:E14)</f>
        <v>2.5</v>
      </c>
      <c r="F38" s="12">
        <f t="shared" si="9"/>
        <v>2</v>
      </c>
      <c r="G38" s="12">
        <f t="shared" si="9"/>
        <v>2.6666666666666665</v>
      </c>
      <c r="H38" s="12">
        <f t="shared" si="9"/>
        <v>1.8333333333333333</v>
      </c>
      <c r="I38" s="11" t="s">
        <v>111</v>
      </c>
      <c r="J38" s="13"/>
    </row>
    <row r="39" spans="1:10" x14ac:dyDescent="0.35">
      <c r="A39" s="76" t="s">
        <v>108</v>
      </c>
      <c r="B39" s="77"/>
      <c r="C39" s="77"/>
      <c r="D39" s="14">
        <f>MEDIAN(D9:D14)</f>
        <v>3</v>
      </c>
      <c r="E39" s="14">
        <f t="shared" ref="E39:H39" si="10">MEDIAN(E9:E14)</f>
        <v>2</v>
      </c>
      <c r="F39" s="14">
        <f t="shared" si="10"/>
        <v>2</v>
      </c>
      <c r="G39" s="14">
        <f t="shared" si="10"/>
        <v>3</v>
      </c>
      <c r="H39" s="14">
        <f t="shared" si="10"/>
        <v>1</v>
      </c>
      <c r="I39" s="14"/>
      <c r="J39" s="13"/>
    </row>
    <row r="40" spans="1:10" x14ac:dyDescent="0.35">
      <c r="A40" s="78" t="s">
        <v>109</v>
      </c>
      <c r="B40" s="79"/>
      <c r="C40" s="79"/>
      <c r="D40" s="52">
        <f>_xlfn.STDEV.S(D9:D14)</f>
        <v>0.89442719099991586</v>
      </c>
      <c r="E40" s="52">
        <f t="shared" ref="E40:H40" si="11">_xlfn.STDEV.S(E9:E14)</f>
        <v>0.83666002653407556</v>
      </c>
      <c r="F40" s="52">
        <f t="shared" si="11"/>
        <v>0.89442719099991586</v>
      </c>
      <c r="G40" s="52">
        <f t="shared" si="11"/>
        <v>1.0327955589886446</v>
      </c>
      <c r="H40" s="52">
        <f t="shared" si="11"/>
        <v>1.3291601358251257</v>
      </c>
      <c r="I40" s="15" t="s">
        <v>112</v>
      </c>
      <c r="J40" s="16" t="s">
        <v>157</v>
      </c>
    </row>
    <row r="43" spans="1:10" x14ac:dyDescent="0.35">
      <c r="C43" s="7" t="s">
        <v>189</v>
      </c>
      <c r="D43" s="7" t="s">
        <v>190</v>
      </c>
      <c r="E43" s="7" t="s">
        <v>191</v>
      </c>
      <c r="F43" s="7" t="s">
        <v>192</v>
      </c>
      <c r="G43" s="7" t="s">
        <v>193</v>
      </c>
      <c r="H43" s="7" t="s">
        <v>194</v>
      </c>
      <c r="I43" s="7" t="s">
        <v>198</v>
      </c>
      <c r="J43" s="8" t="s">
        <v>199</v>
      </c>
    </row>
    <row r="44" spans="1:10" x14ac:dyDescent="0.35">
      <c r="C44" s="7" t="s">
        <v>195</v>
      </c>
      <c r="D44" s="12">
        <f>D28</f>
        <v>2.6666666666666665</v>
      </c>
      <c r="E44" s="12">
        <f t="shared" ref="E44:H44" si="12">E28</f>
        <v>2.3333333333333335</v>
      </c>
      <c r="F44" s="12">
        <f t="shared" si="12"/>
        <v>1.8333333333333333</v>
      </c>
      <c r="G44" s="12">
        <f t="shared" si="12"/>
        <v>2.5</v>
      </c>
      <c r="H44" s="12">
        <f t="shared" si="12"/>
        <v>1.6666666666666667</v>
      </c>
      <c r="I44" s="70">
        <f>AVERAGE(D44:H44)</f>
        <v>2.1999999999999997</v>
      </c>
      <c r="J44" s="8">
        <f>_xlfn.STDEV.S(D44:H44)</f>
        <v>0.43140597018482901</v>
      </c>
    </row>
    <row r="45" spans="1:10" x14ac:dyDescent="0.35">
      <c r="C45" s="7" t="s">
        <v>196</v>
      </c>
      <c r="D45" s="12">
        <f>D33</f>
        <v>3.5</v>
      </c>
      <c r="E45" s="12">
        <f t="shared" ref="E45:H45" si="13">E33</f>
        <v>3.3333333333333335</v>
      </c>
      <c r="F45" s="12">
        <f t="shared" si="13"/>
        <v>1.6666666666666667</v>
      </c>
      <c r="G45" s="12">
        <f t="shared" si="13"/>
        <v>3.6666666666666665</v>
      </c>
      <c r="H45" s="12">
        <f t="shared" si="13"/>
        <v>3</v>
      </c>
      <c r="I45" s="70">
        <f t="shared" ref="I45:I46" si="14">AVERAGE(D45:H45)</f>
        <v>3.0333333333333332</v>
      </c>
      <c r="J45" s="8">
        <f t="shared" ref="J45:J46" si="15">_xlfn.STDEV.S(D45:H45)</f>
        <v>0.80277297191948715</v>
      </c>
    </row>
    <row r="46" spans="1:10" x14ac:dyDescent="0.35">
      <c r="C46" s="7" t="s">
        <v>197</v>
      </c>
      <c r="D46" s="12">
        <f>D38</f>
        <v>3</v>
      </c>
      <c r="E46" s="12">
        <f t="shared" ref="E46:H46" si="16">E38</f>
        <v>2.5</v>
      </c>
      <c r="F46" s="12">
        <f>F38</f>
        <v>2</v>
      </c>
      <c r="G46" s="12">
        <f t="shared" si="16"/>
        <v>2.6666666666666665</v>
      </c>
      <c r="H46" s="12">
        <f t="shared" si="16"/>
        <v>1.8333333333333333</v>
      </c>
      <c r="I46" s="70">
        <f t="shared" si="14"/>
        <v>2.4</v>
      </c>
      <c r="J46" s="8">
        <f t="shared" si="15"/>
        <v>0.48016200969626405</v>
      </c>
    </row>
  </sheetData>
  <sortState xmlns:xlrd2="http://schemas.microsoft.com/office/spreadsheetml/2017/richdata2" ref="A3:J20">
    <sortCondition ref="B3:B20"/>
  </sortState>
  <mergeCells count="17">
    <mergeCell ref="A35:C35"/>
    <mergeCell ref="A37:C37"/>
    <mergeCell ref="A38:C38"/>
    <mergeCell ref="A39:C39"/>
    <mergeCell ref="A40:C40"/>
    <mergeCell ref="A34:C34"/>
    <mergeCell ref="A1:J1"/>
    <mergeCell ref="A23:C23"/>
    <mergeCell ref="A24:C24"/>
    <mergeCell ref="A25:C25"/>
    <mergeCell ref="A22:C22"/>
    <mergeCell ref="A27:C27"/>
    <mergeCell ref="A28:C28"/>
    <mergeCell ref="A29:C29"/>
    <mergeCell ref="A30:C30"/>
    <mergeCell ref="A32:C32"/>
    <mergeCell ref="A33:C3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2FCE-B990-405B-B51C-70D7CCBB5802}">
  <dimension ref="A1:J46"/>
  <sheetViews>
    <sheetView topLeftCell="H1" zoomScale="70" zoomScaleNormal="70" workbookViewId="0">
      <pane ySplit="2" topLeftCell="A3" activePane="bottomLeft" state="frozen"/>
      <selection pane="bottomLeft" activeCell="L12" sqref="L12"/>
    </sheetView>
  </sheetViews>
  <sheetFormatPr defaultRowHeight="12.5" x14ac:dyDescent="0.35"/>
  <cols>
    <col min="1" max="1" width="12.36328125" style="24" customWidth="1"/>
    <col min="2" max="2" width="6.36328125" style="24" customWidth="1"/>
    <col min="3" max="3" width="10.36328125" style="24" customWidth="1"/>
    <col min="4" max="8" width="16.08984375" style="24" customWidth="1"/>
    <col min="9" max="9" width="57.7265625" style="24" customWidth="1"/>
    <col min="10" max="10" width="46.1796875" style="2" customWidth="1"/>
    <col min="11" max="16384" width="8.7265625" style="24"/>
  </cols>
  <sheetData>
    <row r="1" spans="1:10" s="25" customFormat="1" ht="18" x14ac:dyDescent="0.35">
      <c r="A1" s="71" t="s">
        <v>87</v>
      </c>
      <c r="B1" s="72"/>
      <c r="C1" s="72"/>
      <c r="D1" s="72"/>
      <c r="E1" s="72"/>
      <c r="F1" s="72"/>
      <c r="G1" s="72"/>
      <c r="H1" s="72"/>
      <c r="I1" s="72"/>
      <c r="J1" s="73"/>
    </row>
    <row r="2" spans="1:10" s="26" customFormat="1" ht="26.5" customHeight="1" x14ac:dyDescent="0.35">
      <c r="A2" s="63" t="s">
        <v>1</v>
      </c>
      <c r="B2" s="63" t="s">
        <v>2</v>
      </c>
      <c r="C2" s="63" t="s">
        <v>146</v>
      </c>
      <c r="D2" s="63" t="s">
        <v>149</v>
      </c>
      <c r="E2" s="63" t="s">
        <v>3</v>
      </c>
      <c r="F2" s="63" t="s">
        <v>4</v>
      </c>
      <c r="G2" s="63" t="s">
        <v>147</v>
      </c>
      <c r="H2" s="63" t="s">
        <v>148</v>
      </c>
      <c r="I2" s="63" t="s">
        <v>5</v>
      </c>
      <c r="J2" s="63" t="s">
        <v>142</v>
      </c>
    </row>
    <row r="3" spans="1:10" x14ac:dyDescent="0.35">
      <c r="A3" s="61">
        <v>3</v>
      </c>
      <c r="B3" s="1" t="s">
        <v>12</v>
      </c>
      <c r="C3" s="1" t="s">
        <v>12</v>
      </c>
      <c r="D3" s="1">
        <v>1</v>
      </c>
      <c r="E3" s="1">
        <v>1</v>
      </c>
      <c r="F3" s="1">
        <v>2</v>
      </c>
      <c r="G3" s="1">
        <v>1</v>
      </c>
      <c r="H3" s="1">
        <v>1</v>
      </c>
      <c r="I3" s="62" t="s">
        <v>91</v>
      </c>
      <c r="J3" s="28" t="s">
        <v>92</v>
      </c>
    </row>
    <row r="4" spans="1:10" ht="20" x14ac:dyDescent="0.35">
      <c r="A4" s="61">
        <v>4</v>
      </c>
      <c r="B4" s="1" t="s">
        <v>12</v>
      </c>
      <c r="C4" s="1" t="s">
        <v>12</v>
      </c>
      <c r="D4" s="1">
        <v>2</v>
      </c>
      <c r="E4" s="1">
        <v>2</v>
      </c>
      <c r="F4" s="1">
        <v>3</v>
      </c>
      <c r="G4" s="1">
        <v>3</v>
      </c>
      <c r="H4" s="1">
        <v>1</v>
      </c>
      <c r="I4" s="62" t="s">
        <v>93</v>
      </c>
      <c r="J4" s="28" t="s">
        <v>168</v>
      </c>
    </row>
    <row r="5" spans="1:10" ht="20" x14ac:dyDescent="0.35">
      <c r="A5" s="61">
        <v>9</v>
      </c>
      <c r="B5" s="1" t="s">
        <v>12</v>
      </c>
      <c r="C5" s="1" t="s">
        <v>12</v>
      </c>
      <c r="D5" s="1">
        <v>1</v>
      </c>
      <c r="E5" s="1">
        <v>1</v>
      </c>
      <c r="F5" s="1">
        <v>1</v>
      </c>
      <c r="G5" s="1">
        <v>4</v>
      </c>
      <c r="H5" s="1">
        <v>1</v>
      </c>
      <c r="I5" s="62" t="s">
        <v>99</v>
      </c>
      <c r="J5" s="28" t="s">
        <v>116</v>
      </c>
    </row>
    <row r="6" spans="1:10" x14ac:dyDescent="0.35">
      <c r="A6" s="61">
        <v>10</v>
      </c>
      <c r="B6" s="1" t="s">
        <v>12</v>
      </c>
      <c r="C6" s="1" t="s">
        <v>12</v>
      </c>
      <c r="D6" s="1">
        <v>2</v>
      </c>
      <c r="E6" s="1">
        <v>2</v>
      </c>
      <c r="F6" s="1">
        <v>3</v>
      </c>
      <c r="G6" s="1">
        <v>3</v>
      </c>
      <c r="H6" s="1">
        <v>2</v>
      </c>
      <c r="I6" s="62" t="s">
        <v>101</v>
      </c>
      <c r="J6" s="28"/>
    </row>
    <row r="7" spans="1:10" x14ac:dyDescent="0.35">
      <c r="A7" s="61">
        <v>15</v>
      </c>
      <c r="B7" s="1" t="s">
        <v>12</v>
      </c>
      <c r="C7" s="1" t="s">
        <v>12</v>
      </c>
      <c r="D7" s="1">
        <v>2</v>
      </c>
      <c r="E7" s="1">
        <v>1</v>
      </c>
      <c r="F7" s="1">
        <v>1</v>
      </c>
      <c r="G7" s="1">
        <v>3</v>
      </c>
      <c r="H7" s="1">
        <v>1</v>
      </c>
      <c r="I7" s="62" t="s">
        <v>106</v>
      </c>
      <c r="J7" s="28" t="s">
        <v>34</v>
      </c>
    </row>
    <row r="8" spans="1:10" x14ac:dyDescent="0.35">
      <c r="A8" s="61">
        <v>18</v>
      </c>
      <c r="B8" s="1" t="s">
        <v>12</v>
      </c>
      <c r="C8" s="1" t="s">
        <v>12</v>
      </c>
      <c r="D8" s="1">
        <v>2</v>
      </c>
      <c r="E8" s="1">
        <v>2</v>
      </c>
      <c r="F8" s="1">
        <v>1</v>
      </c>
      <c r="G8" s="1">
        <v>3</v>
      </c>
      <c r="H8" s="1">
        <v>1</v>
      </c>
      <c r="I8" s="62"/>
      <c r="J8" s="28"/>
    </row>
    <row r="9" spans="1:10" x14ac:dyDescent="0.35">
      <c r="A9" s="57">
        <v>2</v>
      </c>
      <c r="B9" s="58" t="s">
        <v>9</v>
      </c>
      <c r="C9" s="58" t="s">
        <v>9</v>
      </c>
      <c r="D9" s="58">
        <v>2</v>
      </c>
      <c r="E9" s="58">
        <v>3</v>
      </c>
      <c r="F9" s="58">
        <v>1</v>
      </c>
      <c r="G9" s="58">
        <v>3</v>
      </c>
      <c r="H9" s="58">
        <v>1</v>
      </c>
      <c r="I9" s="59" t="s">
        <v>90</v>
      </c>
      <c r="J9" s="60" t="s">
        <v>115</v>
      </c>
    </row>
    <row r="10" spans="1:10" ht="20" x14ac:dyDescent="0.35">
      <c r="A10" s="57">
        <v>6</v>
      </c>
      <c r="B10" s="58" t="s">
        <v>9</v>
      </c>
      <c r="C10" s="58" t="s">
        <v>9</v>
      </c>
      <c r="D10" s="58">
        <v>3</v>
      </c>
      <c r="E10" s="58">
        <v>1</v>
      </c>
      <c r="F10" s="58">
        <v>2</v>
      </c>
      <c r="G10" s="58">
        <v>4</v>
      </c>
      <c r="H10" s="58">
        <v>1</v>
      </c>
      <c r="I10" s="59" t="s">
        <v>96</v>
      </c>
      <c r="J10" s="60" t="s">
        <v>170</v>
      </c>
    </row>
    <row r="11" spans="1:10" ht="20" x14ac:dyDescent="0.35">
      <c r="A11" s="57">
        <v>8</v>
      </c>
      <c r="B11" s="58" t="s">
        <v>9</v>
      </c>
      <c r="C11" s="58" t="s">
        <v>9</v>
      </c>
      <c r="D11" s="58">
        <v>3</v>
      </c>
      <c r="E11" s="58">
        <v>3</v>
      </c>
      <c r="F11" s="58">
        <v>1</v>
      </c>
      <c r="G11" s="58">
        <v>4</v>
      </c>
      <c r="H11" s="58">
        <v>1</v>
      </c>
      <c r="I11" s="59" t="s">
        <v>98</v>
      </c>
      <c r="J11" s="60" t="s">
        <v>114</v>
      </c>
    </row>
    <row r="12" spans="1:10" ht="20" x14ac:dyDescent="0.35">
      <c r="A12" s="57">
        <v>12</v>
      </c>
      <c r="B12" s="58" t="s">
        <v>9</v>
      </c>
      <c r="C12" s="58" t="s">
        <v>9</v>
      </c>
      <c r="D12" s="58">
        <v>1</v>
      </c>
      <c r="E12" s="58">
        <v>2</v>
      </c>
      <c r="F12" s="58">
        <v>1</v>
      </c>
      <c r="G12" s="58">
        <v>3</v>
      </c>
      <c r="H12" s="58">
        <v>1</v>
      </c>
      <c r="I12" s="59" t="s">
        <v>103</v>
      </c>
      <c r="J12" s="60" t="s">
        <v>89</v>
      </c>
    </row>
    <row r="13" spans="1:10" x14ac:dyDescent="0.35">
      <c r="A13" s="57">
        <v>14</v>
      </c>
      <c r="B13" s="58" t="s">
        <v>9</v>
      </c>
      <c r="C13" s="58" t="s">
        <v>9</v>
      </c>
      <c r="D13" s="58">
        <v>3</v>
      </c>
      <c r="E13" s="58">
        <v>3</v>
      </c>
      <c r="F13" s="58">
        <v>1</v>
      </c>
      <c r="G13" s="58">
        <v>3</v>
      </c>
      <c r="H13" s="58">
        <v>1</v>
      </c>
      <c r="I13" s="59" t="s">
        <v>105</v>
      </c>
      <c r="J13" s="60" t="s">
        <v>114</v>
      </c>
    </row>
    <row r="14" spans="1:10" x14ac:dyDescent="0.35">
      <c r="A14" s="57">
        <v>16</v>
      </c>
      <c r="B14" s="58" t="s">
        <v>9</v>
      </c>
      <c r="C14" s="58" t="s">
        <v>9</v>
      </c>
      <c r="D14" s="58">
        <v>2</v>
      </c>
      <c r="E14" s="58">
        <v>2</v>
      </c>
      <c r="F14" s="58">
        <v>1</v>
      </c>
      <c r="G14" s="58">
        <v>4</v>
      </c>
      <c r="H14" s="58">
        <v>1</v>
      </c>
      <c r="I14" s="59" t="s">
        <v>184</v>
      </c>
      <c r="J14" s="60" t="s">
        <v>185</v>
      </c>
    </row>
    <row r="15" spans="1:10" x14ac:dyDescent="0.35">
      <c r="A15" s="53">
        <v>1</v>
      </c>
      <c r="B15" s="54" t="s">
        <v>6</v>
      </c>
      <c r="C15" s="54" t="s">
        <v>6</v>
      </c>
      <c r="D15" s="54">
        <v>1</v>
      </c>
      <c r="E15" s="54">
        <v>2</v>
      </c>
      <c r="F15" s="54">
        <v>1</v>
      </c>
      <c r="G15" s="54">
        <v>2</v>
      </c>
      <c r="H15" s="54">
        <v>2</v>
      </c>
      <c r="I15" s="55" t="s">
        <v>88</v>
      </c>
      <c r="J15" s="56" t="s">
        <v>89</v>
      </c>
    </row>
    <row r="16" spans="1:10" x14ac:dyDescent="0.35">
      <c r="A16" s="53">
        <v>5</v>
      </c>
      <c r="B16" s="54" t="s">
        <v>6</v>
      </c>
      <c r="C16" s="54" t="s">
        <v>6</v>
      </c>
      <c r="D16" s="54">
        <v>1</v>
      </c>
      <c r="E16" s="54">
        <v>1</v>
      </c>
      <c r="F16" s="54">
        <v>3</v>
      </c>
      <c r="G16" s="54">
        <v>2</v>
      </c>
      <c r="H16" s="54">
        <v>1</v>
      </c>
      <c r="I16" s="55" t="s">
        <v>95</v>
      </c>
      <c r="J16" s="56" t="s">
        <v>169</v>
      </c>
    </row>
    <row r="17" spans="1:10" ht="30" x14ac:dyDescent="0.35">
      <c r="A17" s="53">
        <v>7</v>
      </c>
      <c r="B17" s="54" t="s">
        <v>6</v>
      </c>
      <c r="C17" s="54" t="s">
        <v>6</v>
      </c>
      <c r="D17" s="54">
        <v>3</v>
      </c>
      <c r="E17" s="54">
        <v>2</v>
      </c>
      <c r="F17" s="54">
        <v>1</v>
      </c>
      <c r="G17" s="54">
        <v>3</v>
      </c>
      <c r="H17" s="54">
        <v>1</v>
      </c>
      <c r="I17" s="55" t="s">
        <v>97</v>
      </c>
      <c r="J17" s="56" t="s">
        <v>22</v>
      </c>
    </row>
    <row r="18" spans="1:10" x14ac:dyDescent="0.35">
      <c r="A18" s="53">
        <v>11</v>
      </c>
      <c r="B18" s="54" t="s">
        <v>6</v>
      </c>
      <c r="C18" s="54" t="s">
        <v>6</v>
      </c>
      <c r="D18" s="54">
        <v>1</v>
      </c>
      <c r="E18" s="54">
        <v>2</v>
      </c>
      <c r="F18" s="54">
        <v>1</v>
      </c>
      <c r="G18" s="54">
        <v>4</v>
      </c>
      <c r="H18" s="54">
        <v>1</v>
      </c>
      <c r="I18" s="55" t="s">
        <v>102</v>
      </c>
      <c r="J18" s="56" t="s">
        <v>100</v>
      </c>
    </row>
    <row r="19" spans="1:10" ht="20" x14ac:dyDescent="0.35">
      <c r="A19" s="53">
        <v>13</v>
      </c>
      <c r="B19" s="54" t="s">
        <v>6</v>
      </c>
      <c r="C19" s="54" t="s">
        <v>6</v>
      </c>
      <c r="D19" s="54">
        <v>1</v>
      </c>
      <c r="E19" s="54">
        <v>2</v>
      </c>
      <c r="F19" s="54">
        <v>1</v>
      </c>
      <c r="G19" s="54">
        <v>4</v>
      </c>
      <c r="H19" s="54">
        <v>1</v>
      </c>
      <c r="I19" s="55" t="s">
        <v>104</v>
      </c>
      <c r="J19" s="56" t="s">
        <v>22</v>
      </c>
    </row>
    <row r="20" spans="1:10" x14ac:dyDescent="0.35">
      <c r="A20" s="65">
        <v>17</v>
      </c>
      <c r="B20" s="66" t="s">
        <v>6</v>
      </c>
      <c r="C20" s="66" t="s">
        <v>6</v>
      </c>
      <c r="D20" s="66">
        <v>2</v>
      </c>
      <c r="E20" s="66">
        <v>3</v>
      </c>
      <c r="F20" s="66">
        <v>2</v>
      </c>
      <c r="G20" s="66">
        <v>3</v>
      </c>
      <c r="H20" s="66">
        <v>3</v>
      </c>
      <c r="I20" s="67" t="s">
        <v>167</v>
      </c>
      <c r="J20" s="68" t="s">
        <v>122</v>
      </c>
    </row>
    <row r="21" spans="1:10" x14ac:dyDescent="0.35">
      <c r="A21" s="1"/>
      <c r="B21" s="1"/>
      <c r="C21" s="1"/>
      <c r="D21" s="1"/>
      <c r="E21" s="1"/>
      <c r="F21" s="1"/>
      <c r="G21" s="1"/>
      <c r="H21" s="1"/>
      <c r="I21" s="2"/>
    </row>
    <row r="22" spans="1:10" ht="14.5" x14ac:dyDescent="0.35">
      <c r="A22" s="82" t="s">
        <v>144</v>
      </c>
      <c r="B22" s="83"/>
      <c r="C22" s="83"/>
      <c r="D22" s="48" t="s">
        <v>145</v>
      </c>
      <c r="E22" s="49"/>
      <c r="F22" s="49"/>
      <c r="G22" s="49"/>
      <c r="H22" s="49"/>
      <c r="I22" s="39"/>
      <c r="J22" s="40"/>
    </row>
    <row r="23" spans="1:10" ht="14.5" x14ac:dyDescent="0.35">
      <c r="A23" s="74" t="s">
        <v>107</v>
      </c>
      <c r="B23" s="75"/>
      <c r="C23" s="75"/>
      <c r="D23" s="46">
        <f>AVERAGE(D3:D20)</f>
        <v>1.8333333333333333</v>
      </c>
      <c r="E23" s="46">
        <f t="shared" ref="E23:H23" si="0">AVERAGE(E3:E20)</f>
        <v>1.9444444444444444</v>
      </c>
      <c r="F23" s="46">
        <f t="shared" si="0"/>
        <v>1.5</v>
      </c>
      <c r="G23" s="46">
        <f t="shared" si="0"/>
        <v>3.1111111111111112</v>
      </c>
      <c r="H23" s="46">
        <f t="shared" si="0"/>
        <v>1.2222222222222223</v>
      </c>
      <c r="I23" s="41" t="s">
        <v>111</v>
      </c>
      <c r="J23" s="42" t="s">
        <v>171</v>
      </c>
    </row>
    <row r="24" spans="1:10" ht="14.5" x14ac:dyDescent="0.35">
      <c r="A24" s="76" t="s">
        <v>108</v>
      </c>
      <c r="B24" s="77"/>
      <c r="C24" s="77"/>
      <c r="D24" s="14">
        <f>MEDIAN(D3:D20)</f>
        <v>2</v>
      </c>
      <c r="E24" s="14">
        <f t="shared" ref="E24:H24" si="1">MEDIAN(E3:E20)</f>
        <v>2</v>
      </c>
      <c r="F24" s="14">
        <f t="shared" si="1"/>
        <v>1</v>
      </c>
      <c r="G24" s="14">
        <f t="shared" si="1"/>
        <v>3</v>
      </c>
      <c r="H24" s="14">
        <f t="shared" si="1"/>
        <v>1</v>
      </c>
      <c r="I24" s="32"/>
      <c r="J24" s="31"/>
    </row>
    <row r="25" spans="1:10" ht="37.5" x14ac:dyDescent="0.35">
      <c r="A25" s="78" t="s">
        <v>109</v>
      </c>
      <c r="B25" s="79"/>
      <c r="C25" s="79"/>
      <c r="D25" s="52">
        <f>_xlfn.STDEV.S(D3:D20)</f>
        <v>0.7859052479933758</v>
      </c>
      <c r="E25" s="52">
        <f t="shared" ref="E25:H25" si="2">_xlfn.STDEV.S(E3:E20)</f>
        <v>0.72535769855270238</v>
      </c>
      <c r="F25" s="52">
        <f t="shared" si="2"/>
        <v>0.7859052479933758</v>
      </c>
      <c r="G25" s="52">
        <f t="shared" si="2"/>
        <v>0.83235236379573019</v>
      </c>
      <c r="H25" s="52">
        <f t="shared" si="2"/>
        <v>0.54831888055331623</v>
      </c>
      <c r="I25" s="33" t="s">
        <v>112</v>
      </c>
      <c r="J25" s="34" t="s">
        <v>186</v>
      </c>
    </row>
    <row r="26" spans="1:10" ht="14.5" x14ac:dyDescent="0.35">
      <c r="A26" s="7"/>
      <c r="B26" s="7"/>
      <c r="C26" s="7"/>
      <c r="D26" s="7"/>
      <c r="E26" s="7"/>
      <c r="F26" s="7"/>
      <c r="G26" s="7"/>
      <c r="H26" s="7"/>
    </row>
    <row r="27" spans="1:10" ht="14.5" x14ac:dyDescent="0.35">
      <c r="A27" s="84" t="s">
        <v>134</v>
      </c>
      <c r="B27" s="85"/>
      <c r="C27" s="85"/>
      <c r="D27" s="21" t="s">
        <v>143</v>
      </c>
      <c r="E27" s="9"/>
      <c r="F27" s="9"/>
      <c r="G27" s="9"/>
      <c r="H27" s="9"/>
      <c r="I27" s="29"/>
      <c r="J27" s="27"/>
    </row>
    <row r="28" spans="1:10" ht="14.5" x14ac:dyDescent="0.35">
      <c r="A28" s="76" t="s">
        <v>107</v>
      </c>
      <c r="B28" s="77"/>
      <c r="C28" s="77"/>
      <c r="D28" s="12">
        <f>AVERAGE(D3:D8)</f>
        <v>1.6666666666666667</v>
      </c>
      <c r="E28" s="12">
        <f t="shared" ref="E28:H28" si="3">AVERAGE(E3:E8)</f>
        <v>1.5</v>
      </c>
      <c r="F28" s="12">
        <f t="shared" si="3"/>
        <v>1.8333333333333333</v>
      </c>
      <c r="G28" s="12">
        <f t="shared" si="3"/>
        <v>2.8333333333333335</v>
      </c>
      <c r="H28" s="12">
        <f t="shared" si="3"/>
        <v>1.1666666666666667</v>
      </c>
      <c r="I28" s="30" t="s">
        <v>111</v>
      </c>
      <c r="J28" s="31"/>
    </row>
    <row r="29" spans="1:10" ht="14.5" x14ac:dyDescent="0.35">
      <c r="A29" s="76" t="s">
        <v>108</v>
      </c>
      <c r="B29" s="77"/>
      <c r="C29" s="77"/>
      <c r="D29" s="14">
        <f>MEDIAN(D3:D8)</f>
        <v>2</v>
      </c>
      <c r="E29" s="14">
        <f t="shared" ref="E29:H29" si="4">MEDIAN(E3:E8)</f>
        <v>1.5</v>
      </c>
      <c r="F29" s="14">
        <f t="shared" si="4"/>
        <v>1.5</v>
      </c>
      <c r="G29" s="14">
        <f t="shared" si="4"/>
        <v>3</v>
      </c>
      <c r="H29" s="14">
        <f t="shared" si="4"/>
        <v>1</v>
      </c>
      <c r="I29" s="32"/>
      <c r="J29" s="31"/>
    </row>
    <row r="30" spans="1:10" ht="14.5" x14ac:dyDescent="0.35">
      <c r="A30" s="78" t="s">
        <v>109</v>
      </c>
      <c r="B30" s="79"/>
      <c r="C30" s="79"/>
      <c r="D30" s="52">
        <f>_xlfn.STDEV.S(D3:D8)</f>
        <v>0.51639777949432208</v>
      </c>
      <c r="E30" s="52">
        <f t="shared" ref="E30:H30" si="5">_xlfn.STDEV.S(E3:E8)</f>
        <v>0.54772255750516607</v>
      </c>
      <c r="F30" s="52">
        <f t="shared" si="5"/>
        <v>0.9831920802501749</v>
      </c>
      <c r="G30" s="52">
        <f t="shared" si="5"/>
        <v>0.98319208025017524</v>
      </c>
      <c r="H30" s="52">
        <f t="shared" si="5"/>
        <v>0.40824829046386318</v>
      </c>
      <c r="I30" s="33" t="s">
        <v>112</v>
      </c>
      <c r="J30" s="34" t="s">
        <v>154</v>
      </c>
    </row>
    <row r="31" spans="1:10" ht="14.5" x14ac:dyDescent="0.35">
      <c r="A31" s="7"/>
      <c r="B31" s="7"/>
      <c r="C31" s="6"/>
      <c r="D31" s="7"/>
      <c r="E31" s="7"/>
      <c r="F31" s="7"/>
      <c r="G31" s="7"/>
      <c r="H31" s="7"/>
    </row>
    <row r="32" spans="1:10" ht="14.5" x14ac:dyDescent="0.35">
      <c r="A32" s="86" t="s">
        <v>135</v>
      </c>
      <c r="B32" s="87"/>
      <c r="C32" s="87"/>
      <c r="D32" s="22" t="s">
        <v>143</v>
      </c>
      <c r="E32" s="17"/>
      <c r="F32" s="17"/>
      <c r="G32" s="17"/>
      <c r="H32" s="17"/>
      <c r="I32" s="35"/>
      <c r="J32" s="36"/>
    </row>
    <row r="33" spans="1:10" ht="14.5" x14ac:dyDescent="0.35">
      <c r="A33" s="76" t="s">
        <v>107</v>
      </c>
      <c r="B33" s="77"/>
      <c r="C33" s="77"/>
      <c r="D33" s="12">
        <f>AVERAGE(D15:D20)</f>
        <v>1.5</v>
      </c>
      <c r="E33" s="12">
        <f t="shared" ref="E33:H33" si="6">AVERAGE(E15:E20)</f>
        <v>2</v>
      </c>
      <c r="F33" s="12">
        <f t="shared" si="6"/>
        <v>1.5</v>
      </c>
      <c r="G33" s="12">
        <f t="shared" si="6"/>
        <v>3</v>
      </c>
      <c r="H33" s="12">
        <f t="shared" si="6"/>
        <v>1.5</v>
      </c>
      <c r="I33" s="30" t="s">
        <v>111</v>
      </c>
      <c r="J33" s="31"/>
    </row>
    <row r="34" spans="1:10" ht="14.5" x14ac:dyDescent="0.35">
      <c r="A34" s="76" t="s">
        <v>108</v>
      </c>
      <c r="B34" s="77"/>
      <c r="C34" s="77"/>
      <c r="D34" s="14">
        <f>MEDIAN(D15:D20)</f>
        <v>1</v>
      </c>
      <c r="E34" s="14">
        <f>MEDIAN(E15:E20)</f>
        <v>2</v>
      </c>
      <c r="F34" s="14">
        <f>MEDIAN(F15:F20)</f>
        <v>1</v>
      </c>
      <c r="G34" s="14">
        <f t="shared" ref="G34:H34" si="7">MEDIAN(G15:G20)</f>
        <v>3</v>
      </c>
      <c r="H34" s="14">
        <f t="shared" si="7"/>
        <v>1</v>
      </c>
      <c r="I34" s="32"/>
      <c r="J34" s="31"/>
    </row>
    <row r="35" spans="1:10" ht="14.5" x14ac:dyDescent="0.35">
      <c r="A35" s="78" t="s">
        <v>109</v>
      </c>
      <c r="B35" s="79"/>
      <c r="C35" s="79"/>
      <c r="D35" s="52">
        <f>_xlfn.STDEV.S(D15:D20)</f>
        <v>0.83666002653407556</v>
      </c>
      <c r="E35" s="52">
        <f t="shared" ref="E35:H35" si="8">_xlfn.STDEV.S(E15:E20)</f>
        <v>0.63245553203367588</v>
      </c>
      <c r="F35" s="52">
        <f t="shared" si="8"/>
        <v>0.83666002653407556</v>
      </c>
      <c r="G35" s="52">
        <f t="shared" si="8"/>
        <v>0.89442719099991586</v>
      </c>
      <c r="H35" s="52">
        <f t="shared" si="8"/>
        <v>0.83666002653407556</v>
      </c>
      <c r="I35" s="33" t="s">
        <v>112</v>
      </c>
      <c r="J35" s="34" t="s">
        <v>172</v>
      </c>
    </row>
    <row r="36" spans="1:10" ht="14.5" x14ac:dyDescent="0.35">
      <c r="A36" s="7"/>
      <c r="B36" s="7"/>
      <c r="C36" s="6"/>
      <c r="D36" s="7"/>
      <c r="E36" s="7"/>
      <c r="F36" s="7"/>
      <c r="G36" s="7"/>
      <c r="H36" s="7"/>
    </row>
    <row r="37" spans="1:10" ht="14.5" x14ac:dyDescent="0.35">
      <c r="A37" s="80" t="s">
        <v>136</v>
      </c>
      <c r="B37" s="81"/>
      <c r="C37" s="81"/>
      <c r="D37" s="23" t="s">
        <v>143</v>
      </c>
      <c r="E37" s="19"/>
      <c r="F37" s="19"/>
      <c r="G37" s="19"/>
      <c r="H37" s="19"/>
      <c r="I37" s="37"/>
      <c r="J37" s="38"/>
    </row>
    <row r="38" spans="1:10" ht="14.5" x14ac:dyDescent="0.35">
      <c r="A38" s="76" t="s">
        <v>107</v>
      </c>
      <c r="B38" s="77"/>
      <c r="C38" s="77"/>
      <c r="D38" s="12">
        <f>AVERAGE(D9:D14)</f>
        <v>2.3333333333333335</v>
      </c>
      <c r="E38" s="12">
        <f t="shared" ref="E38:H38" si="9">AVERAGE(E9:E14)</f>
        <v>2.3333333333333335</v>
      </c>
      <c r="F38" s="12">
        <f t="shared" si="9"/>
        <v>1.1666666666666667</v>
      </c>
      <c r="G38" s="12">
        <f t="shared" si="9"/>
        <v>3.5</v>
      </c>
      <c r="H38" s="12">
        <f t="shared" si="9"/>
        <v>1</v>
      </c>
      <c r="I38" s="30" t="s">
        <v>111</v>
      </c>
      <c r="J38" s="31" t="s">
        <v>158</v>
      </c>
    </row>
    <row r="39" spans="1:10" ht="14.5" x14ac:dyDescent="0.35">
      <c r="A39" s="76" t="s">
        <v>108</v>
      </c>
      <c r="B39" s="77"/>
      <c r="C39" s="77"/>
      <c r="D39" s="14">
        <f>MEDIAN(D9:D14)</f>
        <v>2.5</v>
      </c>
      <c r="E39" s="14">
        <f t="shared" ref="E39:H39" si="10">MEDIAN(E9:E14)</f>
        <v>2.5</v>
      </c>
      <c r="F39" s="14">
        <f t="shared" si="10"/>
        <v>1</v>
      </c>
      <c r="G39" s="14">
        <f t="shared" si="10"/>
        <v>3.5</v>
      </c>
      <c r="H39" s="14">
        <f t="shared" si="10"/>
        <v>1</v>
      </c>
      <c r="I39" s="32"/>
      <c r="J39" s="31"/>
    </row>
    <row r="40" spans="1:10" ht="14.5" x14ac:dyDescent="0.35">
      <c r="A40" s="78" t="s">
        <v>109</v>
      </c>
      <c r="B40" s="79"/>
      <c r="C40" s="79"/>
      <c r="D40" s="52">
        <f>_xlfn.STDEV.S(D9:D14)</f>
        <v>0.81649658092772637</v>
      </c>
      <c r="E40" s="52">
        <f t="shared" ref="E40:H40" si="11">_xlfn.STDEV.S(E9:E14)</f>
        <v>0.81649658092772637</v>
      </c>
      <c r="F40" s="52">
        <f t="shared" si="11"/>
        <v>0.40824829046386318</v>
      </c>
      <c r="G40" s="52">
        <f t="shared" si="11"/>
        <v>0.54772255750516607</v>
      </c>
      <c r="H40" s="52">
        <f t="shared" si="11"/>
        <v>0</v>
      </c>
      <c r="I40" s="33" t="s">
        <v>112</v>
      </c>
      <c r="J40" s="34"/>
    </row>
    <row r="41" spans="1:10" ht="14.5" x14ac:dyDescent="0.35">
      <c r="A41" s="7"/>
      <c r="B41" s="7"/>
      <c r="C41" s="7"/>
      <c r="D41" s="7"/>
      <c r="E41" s="7"/>
      <c r="F41" s="7"/>
      <c r="G41" s="7"/>
      <c r="H41" s="7"/>
      <c r="I41" s="7"/>
      <c r="J41" s="8"/>
    </row>
    <row r="42" spans="1:10" ht="14.5" x14ac:dyDescent="0.35">
      <c r="A42" s="7"/>
      <c r="B42" s="7"/>
      <c r="C42" s="7"/>
      <c r="D42" s="7"/>
      <c r="E42" s="7"/>
      <c r="F42" s="7"/>
      <c r="G42" s="7"/>
      <c r="H42" s="7"/>
      <c r="I42" s="7"/>
      <c r="J42" s="8"/>
    </row>
    <row r="43" spans="1:10" ht="14.5" x14ac:dyDescent="0.35">
      <c r="A43" s="7"/>
      <c r="B43" s="7"/>
      <c r="C43" s="7" t="s">
        <v>189</v>
      </c>
      <c r="D43" s="7" t="s">
        <v>190</v>
      </c>
      <c r="E43" s="7" t="s">
        <v>191</v>
      </c>
      <c r="F43" s="7" t="s">
        <v>192</v>
      </c>
      <c r="G43" s="7" t="s">
        <v>193</v>
      </c>
      <c r="H43" s="7" t="s">
        <v>194</v>
      </c>
      <c r="I43" s="7" t="s">
        <v>198</v>
      </c>
      <c r="J43" s="8" t="s">
        <v>199</v>
      </c>
    </row>
    <row r="44" spans="1:10" ht="14.5" x14ac:dyDescent="0.35">
      <c r="A44" s="7"/>
      <c r="B44" s="7"/>
      <c r="C44" s="7" t="s">
        <v>195</v>
      </c>
      <c r="D44" s="12">
        <f>D28</f>
        <v>1.6666666666666667</v>
      </c>
      <c r="E44" s="12">
        <f t="shared" ref="E44:H44" si="12">E28</f>
        <v>1.5</v>
      </c>
      <c r="F44" s="12">
        <f t="shared" si="12"/>
        <v>1.8333333333333333</v>
      </c>
      <c r="G44" s="12">
        <f t="shared" si="12"/>
        <v>2.8333333333333335</v>
      </c>
      <c r="H44" s="12">
        <f t="shared" si="12"/>
        <v>1.1666666666666667</v>
      </c>
      <c r="I44" s="70">
        <f>AVERAGE(D44:H44)</f>
        <v>1.8</v>
      </c>
      <c r="J44" s="8">
        <f>_xlfn.STDEV.S(D44:H44)</f>
        <v>0.62804812271389265</v>
      </c>
    </row>
    <row r="45" spans="1:10" ht="14.5" x14ac:dyDescent="0.35">
      <c r="A45" s="7"/>
      <c r="B45" s="7"/>
      <c r="C45" s="7" t="s">
        <v>196</v>
      </c>
      <c r="D45" s="12">
        <f>D33</f>
        <v>1.5</v>
      </c>
      <c r="E45" s="12">
        <f t="shared" ref="E45:H45" si="13">E33</f>
        <v>2</v>
      </c>
      <c r="F45" s="12">
        <f t="shared" si="13"/>
        <v>1.5</v>
      </c>
      <c r="G45" s="12">
        <f t="shared" si="13"/>
        <v>3</v>
      </c>
      <c r="H45" s="12">
        <f t="shared" si="13"/>
        <v>1.5</v>
      </c>
      <c r="I45" s="70">
        <f t="shared" ref="I45:I46" si="14">AVERAGE(D45:H45)</f>
        <v>1.9</v>
      </c>
      <c r="J45" s="8">
        <f t="shared" ref="J45:J46" si="15">_xlfn.STDEV.S(D45:H45)</f>
        <v>0.65192024052026476</v>
      </c>
    </row>
    <row r="46" spans="1:10" ht="14.5" x14ac:dyDescent="0.35">
      <c r="A46" s="7"/>
      <c r="B46" s="7"/>
      <c r="C46" s="7" t="s">
        <v>197</v>
      </c>
      <c r="D46" s="12">
        <f>D38</f>
        <v>2.3333333333333335</v>
      </c>
      <c r="E46" s="12">
        <f t="shared" ref="E46:H46" si="16">E38</f>
        <v>2.3333333333333335</v>
      </c>
      <c r="F46" s="12">
        <f>F38</f>
        <v>1.1666666666666667</v>
      </c>
      <c r="G46" s="12">
        <f t="shared" si="16"/>
        <v>3.5</v>
      </c>
      <c r="H46" s="12">
        <f t="shared" si="16"/>
        <v>1</v>
      </c>
      <c r="I46" s="70">
        <f t="shared" si="14"/>
        <v>2.0666666666666669</v>
      </c>
      <c r="J46" s="8">
        <f t="shared" si="15"/>
        <v>1.017895432306831</v>
      </c>
    </row>
  </sheetData>
  <sortState xmlns:xlrd2="http://schemas.microsoft.com/office/spreadsheetml/2017/richdata2" ref="A3:J20">
    <sortCondition ref="B3:B20"/>
  </sortState>
  <mergeCells count="17">
    <mergeCell ref="A35:C35"/>
    <mergeCell ref="A37:C37"/>
    <mergeCell ref="A38:C38"/>
    <mergeCell ref="A39:C39"/>
    <mergeCell ref="A40:C40"/>
    <mergeCell ref="A34:C34"/>
    <mergeCell ref="A1:J1"/>
    <mergeCell ref="A23:C23"/>
    <mergeCell ref="A24:C24"/>
    <mergeCell ref="A25:C25"/>
    <mergeCell ref="A22:C22"/>
    <mergeCell ref="A27:C27"/>
    <mergeCell ref="A28:C28"/>
    <mergeCell ref="A29:C29"/>
    <mergeCell ref="A30:C30"/>
    <mergeCell ref="A32:C32"/>
    <mergeCell ref="A33:C3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 1</vt:lpstr>
      <vt:lpstr>Post 2</vt:lpstr>
      <vt:lpstr>Post 3</vt:lpstr>
      <vt:lpstr>Post 4</vt:lpstr>
      <vt:lpstr>Post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Mink,Skylar (Student)</dc:creator>
  <cp:lastModifiedBy>Mink,Skylar (Student)</cp:lastModifiedBy>
  <dcterms:created xsi:type="dcterms:W3CDTF">2025-12-03T20:03:53Z</dcterms:created>
  <dcterms:modified xsi:type="dcterms:W3CDTF">2025-12-09T11:57:48Z</dcterms:modified>
</cp:coreProperties>
</file>